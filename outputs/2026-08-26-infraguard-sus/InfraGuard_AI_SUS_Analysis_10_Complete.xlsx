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4c672ae2b34f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m Responses 1" sheetId="1" r:id="Re0a88ad90b564201"/>
    <x:sheet xmlns:r="http://schemas.openxmlformats.org/officeDocument/2006/relationships" name="Method" sheetId="2" r:id="R8c8f3eec686f424e"/>
    <x:sheet xmlns:r="http://schemas.openxmlformats.org/officeDocument/2006/relationships" name="Scoring" sheetId="3" r:id="R9ca8e606d98e466d"/>
    <x:sheet xmlns:r="http://schemas.openxmlformats.org/officeDocument/2006/relationships" name="Results" sheetId="4" r:id="R5ab42ce7617a4bff"/>
  </x:sheets>
</x:workbook>
</file>

<file path=xl/sharedStrings.xml><?xml version="1.0" encoding="utf-8"?>
<x:sst xmlns:x="http://schemas.openxmlformats.org/spreadsheetml/2006/main">
  <x:si>
    <x:t xml:space="preserve">Timestamp</x:t>
  </x:si>
  <x:si>
    <x:t xml:space="preserve">Score</x:t>
  </x:si>
  <x:si>
    <x:t xml:space="preserve">I consent to my responses being used for this academic evaluation.</x:t>
  </x:si>
  <x:si>
    <x:t xml:space="preserve">Participant Code (e.g., P1, P2)</x:t>
  </x:si>
  <x:si>
    <x:t xml:space="preserve">Professional Role</x:t>
  </x:si>
  <x:si>
    <x:t xml:space="preserve">Years of Relevant Experience</x:t>
  </x:si>
  <x:si>
    <x:t xml:space="preserve">Evaluation Date</x:t>
  </x:si>
  <x:si>
    <x:t xml:space="preserve">1. I think that I would like to use this system frequently.</x:t>
  </x:si>
  <x:si>
    <x:t xml:space="preserve">2. I found the system unnecessarily complex.</x:t>
  </x:si>
  <x:si>
    <x:t xml:space="preserve">3. I thought the system was easy to use.</x:t>
  </x:si>
  <x:si>
    <x:t xml:space="preserve">4. I think that I would need technical support to use this system.</x:t>
  </x:si>
  <x:si>
    <x:t xml:space="preserve">5. I found the system's functions well integrated.</x:t>
  </x:si>
  <x:si>
    <x:t xml:space="preserve">6. I thought there was too much inconsistency in the system.</x:t>
  </x:si>
  <x:si>
    <x:t xml:space="preserve">7. I imagine that most people would learn to use this system quickly.</x:t>
  </x:si>
  <x:si>
    <x:t xml:space="preserve">8. I found the system very cumbersome to use.</x:t>
  </x:si>
  <x:si>
    <x:t xml:space="preserve">9. I felt confident using the system.</x:t>
  </x:si>
  <x:si>
    <x:t xml:space="preserve">10. I needed to learn many things before I could use the system effectively.</x:t>
  </x:si>
  <x:si>
    <x:t xml:space="preserve">Yes, I consent</x:t>
  </x:si>
  <x:si>
    <x:t xml:space="preserve">P1</x:t>
  </x:si>
  <x:si>
    <x:t xml:space="preserve">DevOps Engineer </x:t>
  </x:si>
  <x:si>
    <x:t xml:space="preserve">P2</x:t>
  </x:si>
  <x:si>
    <x:t xml:space="preserve">Site reliability engineer </x:t>
  </x:si>
  <x:si>
    <x:t xml:space="preserve">P3</x:t>
  </x:si>
  <x:si>
    <x:t xml:space="preserve">Devops engineer</x:t>
  </x:si>
  <x:si>
    <x:t xml:space="preserve">P4</x:t>
  </x:si>
  <x:si>
    <x:t xml:space="preserve">DevOps</x:t>
  </x:si>
  <x:si>
    <x:t xml:space="preserve">P5</x:t>
  </x:si>
  <x:si>
    <x:t xml:space="preserve">Devops</x:t>
  </x:si>
  <x:si>
    <x:t xml:space="preserve">P6</x:t>
  </x:si>
  <x:si>
    <x:t xml:space="preserve">SRE</x:t>
  </x:si>
  <x:si>
    <x:t xml:space="preserve">P7</x:t>
  </x:si>
  <x:si>
    <x:t xml:space="preserve">Site reliability Engineer</x:t>
  </x:si>
  <x:si>
    <x:t xml:space="preserve">P8</x:t>
  </x:si>
  <x:si>
    <x:t xml:space="preserve">Devsecops Engineer</x:t>
  </x:si>
  <x:si>
    <x:t xml:space="preserve">P9</x:t>
  </x:si>
  <x:si>
    <x:t xml:space="preserve">Sre</x:t>
  </x:si>
  <x:si>
    <x:t xml:space="preserve">P10</x:t>
  </x:si>
  <x:si>
    <x:t xml:space="preserve">P11</x:t>
  </x:si>
  <x:si>
    <x:t xml:space="preserve">sre</x:t>
  </x:si>
</x:sst>
</file>

<file path=xl/styles.xml><?xml version="1.0" encoding="utf-8"?>
<x:styleSheet xmlns:x="http://schemas.openxmlformats.org/spreadsheetml/2006/main">
  <x:numFmts count="6">
    <x:numFmt numFmtId="164" formatCode="m/d/yyyy"/>
    <x:numFmt numFmtId="200" formatCode="yyyy-mm-dd"/>
    <x:numFmt numFmtId="201" formatCode="0"/>
    <x:numFmt numFmtId="202" formatCode="0.0"/>
    <x:numFmt numFmtId="203" formatCode="0.0%"/>
    <x:numFmt numFmtId="204" formatCode="0.00"/>
  </x:numFmts>
  <x:fonts count="5">
    <x:font>
      <x:sz val="10"/>
      <x:color rgb="FF000000"/>
      <x:name val="Arial"/>
    </x:font>
    <x:font>
      <x:color theme="1"/>
      <x:name val="Arial"/>
    </x:font>
    <x:font>
      <x:b/>
      <x:sz val="16"/>
      <x:color rgb="FFFFFFFF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</x:fonts>
  <x:fills count="6">
    <x:fill>
      <x:patternFill patternType="none"/>
    </x:fill>
    <x:fill>
      <x:patternFill patternType="lightGray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9">
    <x:border/>
    <x:border>
      <x:left style="thin">
        <x:color rgb="FFB8C4CE"/>
      </x:left>
      <x:top style="thin">
        <x:color rgb="FFB8C4CE"/>
      </x:top>
      <x:bottom style="thin">
        <x:color rgb="FFB8C4CE"/>
      </x:bottom>
    </x:border>
    <x:border>
      <x:right style="thin">
        <x:color rgb="FFB8C4CE"/>
      </x:right>
      <x:top style="thin">
        <x:color rgb="FFB8C4CE"/>
      </x:top>
      <x:bottom style="thin">
        <x:color rgb="FFB8C4CE"/>
      </x:bottom>
    </x:border>
    <x:border>
      <x:left style="thin">
        <x:color rgb="FFB8C4CE"/>
      </x:left>
      <x:right style="thin">
        <x:color rgb="FFB8C4CE"/>
      </x:right>
      <x:top style="thin">
        <x:color rgb="FFB8C4CE"/>
      </x:top>
      <x:bottom style="thin">
        <x:color rgb="FFB8C4CE"/>
      </x:bottom>
    </x:border>
    <x:border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bottom style="thin">
        <x:color rgb="FFD9E1E8"/>
      </x:bottom>
    </x:border>
    <x:border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top style="thin">
        <x:color rgb="FFD9E1E8"/>
      </x:top>
      <x:bottom style="thin">
        <x:color rgb="FFD9E1E8"/>
      </x:bottom>
    </x:border>
    <x:border>
      <x:right style="thin">
        <x:color rgb="FFD9E1E8"/>
      </x:right>
      <x:top style="thin">
        <x:color rgb="FFD9E1E8"/>
      </x:top>
    </x:border>
    <x:border>
      <x:left style="thin">
        <x:color rgb="FFD9E1E8"/>
      </x:left>
      <x:right style="thin">
        <x:color rgb="FFD9E1E8"/>
      </x:right>
      <x:top style="thin">
        <x:color rgb="FFD9E1E8"/>
      </x:top>
    </x:border>
    <x:border>
      <x:left style="thin">
        <x:color rgb="FFD9E1E8"/>
      </x:left>
      <x:top style="thin">
        <x:color rgb="FFD9E1E8"/>
      </x:top>
    </x:border>
    <x:border>
      <x:left style="thin">
        <x:color rgb="FFB8C4CE"/>
      </x:left>
      <x:top style="thin">
        <x:color rgb="FFB8C4CE"/>
      </x:top>
    </x:border>
    <x:border>
      <x:top style="thin">
        <x:color rgb="FFB8C4CE"/>
      </x:top>
    </x:border>
    <x:border>
      <x:right style="thin">
        <x:color rgb="FFB8C4CE"/>
      </x:right>
      <x:top style="thin">
        <x:color rgb="FFB8C4CE"/>
      </x:top>
    </x:border>
    <x:border>
      <x:left style="thin">
        <x:color rgb="FFB8C4CE"/>
      </x:left>
      <x:bottom style="thin">
        <x:color rgb="FFB8C4CE"/>
      </x:bottom>
    </x:border>
    <x:border>
      <x:bottom style="thin">
        <x:color rgb="FFB8C4CE"/>
      </x:bottom>
    </x:border>
    <x:border>
      <x:right style="thin">
        <x:color rgb="FFB8C4CE"/>
      </x:right>
      <x:bottom style="thin">
        <x:color rgb="FFB8C4CE"/>
      </x:bottom>
    </x:border>
  </x:borders>
  <x:cellStyleXfs count="1">
    <x:xf numFmtId="0" fontId="0" fillId="0" borderId="0" applyFont="1" applyAlignment="1"/>
  </x:cellStyleXfs>
  <x:cellXfs count="105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left" vertical="center" wrapText="0"/>
    </x:xf>
    <x:xf numFmtId="164" fontId="1" fillId="0" borderId="0" xfId="0" applyNumberFormat="1" applyFont="1" applyAlignment="1">
      <x:alignment vertical="center" wrapText="0"/>
    </x:xf>
    <x:xf numFmtId="0" fontId="1" fillId="0" borderId="0" xfId="0" applyFont="1" applyAlignment="1">
      <x:alignment vertical="center" wrapText="0"/>
    </x:xf>
    <x:xf numFmtId="0" fontId="1" fillId="0" borderId="0" xfId="0" applyFont="1" applyAlignment="1">
      <x:alignment vertical="center" wrapText="0"/>
    </x:xf>
    <x:xf numFmtId="14" fontId="1" fillId="0" borderId="0" xfId="0" applyNumberFormat="1" applyFont="1" applyAlignment="1">
      <x:alignment vertical="center" wrapText="0"/>
    </x:xf>
    <x:xf numFmtId="164" fontId="1" fillId="0" borderId="0" xfId="0" applyNumberFormat="1" applyFont="1" applyAlignment="1">
      <x:alignment vertical="center" wrapText="0"/>
    </x:xf>
    <x:xf numFmtId="0" fontId="1" fillId="0" borderId="0" xfId="0" applyFont="1" applyAlignment="1">
      <x:alignment vertical="center" wrapText="0"/>
    </x:xf>
    <x:xf numFmtId="0" fontId="1" fillId="0" borderId="0" xfId="0" applyFont="1" applyAlignment="1">
      <x:alignment vertical="center" wrapText="0"/>
    </x:xf>
    <x:xf numFmtId="14" fontId="1" fillId="0" borderId="0" xfId="0" applyNumberFormat="1" applyFont="1" applyAlignment="1">
      <x:alignment vertical="center" wrapText="0"/>
    </x:xf>
    <x:xf numFmtId="0" fontId="0" fillId="2" borderId="0" xfId="0" applyNumberFormat="1" applyFont="1" applyFill="1" applyBorder="1" applyAlignment="1">
      <x:alignment vertical="bottom" wrapText="0"/>
    </x:xf>
    <x:xf numFmtId="0" fontId="2" fillId="2" borderId="0" xfId="0" applyNumberFormat="1" applyFont="1" applyFill="1" applyBorder="1" applyAlignment="1">
      <x:alignment vertical="bottom" wrapText="0"/>
    </x:xf>
    <x:xf numFmtId="0" fontId="2" fillId="2" borderId="0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 applyAlignment="1">
      <x:alignment vertical="bottom" wrapText="0"/>
    </x:xf>
    <x:xf numFmtId="0" fontId="3" fillId="2" borderId="1" xfId="0" applyNumberFormat="1" applyFont="1" applyFill="1" applyBorder="1" applyAlignment="1">
      <x:alignment vertical="bottom" wrapText="0"/>
    </x:xf>
    <x:xf numFmtId="0" fontId="3" fillId="2" borderId="2" xfId="0" applyNumberFormat="1" applyFont="1" applyFill="1" applyBorder="1" applyAlignment="1">
      <x:alignment vertical="bottom" wrapText="0"/>
    </x:xf>
    <x:xf numFmtId="0" fontId="0" fillId="3" borderId="0" xfId="0" applyNumberFormat="1" applyFont="1" applyFill="1" applyBorder="1" applyAlignment="1">
      <x:alignment vertical="bottom" wrapText="0"/>
    </x:xf>
    <x:xf numFmtId="0" fontId="4" fillId="3" borderId="0" xfId="0" applyNumberFormat="1" applyFont="1" applyFill="1" applyBorder="1" applyAlignment="1">
      <x:alignment vertical="bottom" wrapText="0"/>
    </x:xf>
    <x:xf numFmtId="0" fontId="4" fillId="3" borderId="0" xfId="0" applyNumberFormat="1" applyFont="1" applyFill="1" applyBorder="1" applyAlignment="1">
      <x:alignment vertical="top" wrapText="0"/>
    </x:xf>
    <x:xf numFmtId="0" fontId="3" fillId="2" borderId="1" xfId="0" applyNumberFormat="1" applyFont="1" applyFill="1" applyBorder="1" applyAlignment="1">
      <x:alignment vertical="bottom" wrapText="1"/>
    </x:xf>
    <x:xf numFmtId="0" fontId="3" fillId="2" borderId="2" xfId="0" applyNumberFormat="1" applyFont="1" applyFill="1" applyBorder="1" applyAlignment="1">
      <x:alignment vertical="bottom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bottom" wrapText="1"/>
    </x:xf>
    <x:xf numFmtId="0" fontId="3" fillId="2" borderId="3" xfId="0" applyNumberFormat="1" applyFont="1" applyFill="1" applyBorder="1" applyAlignment="1">
      <x:alignment vertical="bottom" wrapText="1"/>
    </x:xf>
    <x:xf numFmtId="0" fontId="4" fillId="3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bottom" wrapText="1"/>
    </x:xf>
    <x:xf numFmtId="0" fontId="3" fillId="2" borderId="0" xfId="0" applyNumberFormat="1" applyFont="1" applyFill="1" applyBorder="1" applyAlignment="1">
      <x:alignment vertical="bottom"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bottom" wrapText="0"/>
    </x:xf>
    <x:xf numFmtId="0" fontId="0" fillId="0" borderId="5" xfId="0" applyNumberFormat="1" applyFont="1" applyFill="1" applyBorder="1" applyAlignment="1">
      <x:alignment vertical="bottom" wrapText="0"/>
    </x:xf>
    <x:xf numFmtId="0" fontId="0" fillId="0" borderId="6" xfId="0" applyNumberFormat="1" applyFont="1" applyFill="1" applyBorder="1" applyAlignment="1">
      <x:alignment vertical="bottom" wrapText="0"/>
    </x:xf>
    <x:xf numFmtId="0" fontId="0" fillId="0" borderId="7" xfId="0" applyNumberFormat="1" applyFont="1" applyFill="1" applyBorder="1" applyAlignment="1">
      <x:alignment vertical="bottom" wrapText="0"/>
    </x:xf>
    <x:xf numFmtId="0" fontId="0" fillId="0" borderId="8" xfId="0" applyNumberFormat="1" applyFont="1" applyFill="1" applyBorder="1" applyAlignment="1">
      <x:alignment vertical="bottom" wrapText="0"/>
    </x:xf>
    <x:xf numFmtId="0" fontId="0" fillId="0" borderId="9" xfId="0" applyNumberFormat="1" applyFont="1" applyFill="1" applyBorder="1" applyAlignment="1">
      <x:alignment vertical="bottom" wrapText="0"/>
    </x:xf>
    <x:xf numFmtId="0" fontId="0" fillId="0" borderId="10" xfId="0" applyNumberFormat="1" applyFont="1" applyFill="1" applyBorder="1" applyAlignment="1">
      <x:alignment vertical="bottom" wrapText="0"/>
    </x:xf>
    <x:xf numFmtId="0" fontId="0" fillId="0" borderId="11" xfId="0" applyNumberFormat="1" applyFont="1" applyFill="1" applyBorder="1" applyAlignment="1">
      <x:alignment vertical="bottom" wrapText="0"/>
    </x:xf>
    <x:xf numFmtId="0" fontId="0" fillId="0" borderId="12" xfId="0" applyNumberFormat="1" applyFont="1" applyFill="1" applyBorder="1" applyAlignment="1">
      <x:alignment vertical="bottom" wrapText="0"/>
    </x:xf>
    <x:xf numFmtId="200" fontId="0" fillId="0" borderId="5" xfId="0" applyNumberFormat="1" applyFont="1" applyFill="1" applyBorder="1" applyAlignment="1">
      <x:alignment vertical="bottom" wrapText="0"/>
    </x:xf>
    <x:xf numFmtId="200" fontId="0" fillId="0" borderId="8" xfId="0" applyNumberFormat="1" applyFont="1" applyFill="1" applyBorder="1" applyAlignment="1">
      <x:alignment vertical="bottom" wrapText="0"/>
    </x:xf>
    <x:xf numFmtId="200" fontId="0" fillId="0" borderId="11" xfId="0" applyNumberFormat="1" applyFont="1" applyFill="1" applyBorder="1" applyAlignment="1">
      <x:alignment vertical="bottom" wrapText="0"/>
    </x:xf>
    <x:xf numFmtId="201" fontId="0" fillId="0" borderId="5" xfId="0" applyNumberFormat="1" applyFont="1" applyFill="1" applyBorder="1" applyAlignment="1">
      <x:alignment vertical="bottom" wrapText="0"/>
    </x:xf>
    <x:xf numFmtId="201" fontId="0" fillId="0" borderId="8" xfId="0" applyNumberFormat="1" applyFont="1" applyFill="1" applyBorder="1" applyAlignment="1">
      <x:alignment vertical="bottom" wrapText="0"/>
    </x:xf>
    <x:xf numFmtId="201" fontId="0" fillId="0" borderId="11" xfId="0" applyNumberFormat="1" applyFont="1" applyFill="1" applyBorder="1" applyAlignment="1">
      <x:alignment vertical="bottom" wrapText="0"/>
    </x:xf>
    <x:xf numFmtId="202" fontId="0" fillId="0" borderId="6" xfId="0" applyNumberFormat="1" applyFont="1" applyFill="1" applyBorder="1" applyAlignment="1">
      <x:alignment vertical="bottom" wrapText="0"/>
    </x:xf>
    <x:xf numFmtId="202" fontId="0" fillId="0" borderId="9" xfId="0" applyNumberFormat="1" applyFont="1" applyFill="1" applyBorder="1" applyAlignment="1">
      <x:alignment vertical="bottom" wrapText="0"/>
    </x:xf>
    <x:xf numFmtId="202" fontId="0" fillId="0" borderId="12" xfId="0" applyNumberFormat="1" applyFont="1" applyFill="1" applyBorder="1" applyAlignment="1">
      <x:alignment vertical="bottom" wrapText="0"/>
    </x:xf>
    <x:xf numFmtId="0" fontId="0" fillId="0" borderId="4" xfId="0" applyNumberFormat="1" applyFont="1" applyFill="1" applyBorder="1" applyAlignment="1">
      <x:alignment vertical="bottom" wrapText="1"/>
    </x:xf>
    <x:xf numFmtId="0" fontId="0" fillId="0" borderId="5" xfId="0" applyNumberFormat="1" applyFont="1" applyFill="1" applyBorder="1" applyAlignment="1">
      <x:alignment vertical="bottom" wrapText="1"/>
    </x:xf>
    <x:xf numFmtId="201" fontId="0" fillId="0" borderId="5" xfId="0" applyNumberFormat="1" applyFont="1" applyFill="1" applyBorder="1" applyAlignment="1">
      <x:alignment vertical="bottom" wrapText="1"/>
    </x:xf>
    <x:xf numFmtId="200" fontId="0" fillId="0" borderId="5" xfId="0" applyNumberFormat="1" applyFont="1" applyFill="1" applyBorder="1" applyAlignment="1">
      <x:alignment vertical="bottom" wrapText="1"/>
    </x:xf>
    <x:xf numFmtId="0" fontId="0" fillId="0" borderId="7" xfId="0" applyNumberFormat="1" applyFont="1" applyFill="1" applyBorder="1" applyAlignment="1">
      <x:alignment vertical="bottom" wrapText="1"/>
    </x:xf>
    <x:xf numFmtId="0" fontId="0" fillId="0" borderId="8" xfId="0" applyNumberFormat="1" applyFont="1" applyFill="1" applyBorder="1" applyAlignment="1">
      <x:alignment vertical="bottom" wrapText="1"/>
    </x:xf>
    <x:xf numFmtId="201" fontId="0" fillId="0" borderId="8" xfId="0" applyNumberFormat="1" applyFont="1" applyFill="1" applyBorder="1" applyAlignment="1">
      <x:alignment vertical="bottom" wrapText="1"/>
    </x:xf>
    <x:xf numFmtId="200" fontId="0" fillId="0" borderId="8" xfId="0" applyNumberFormat="1" applyFont="1" applyFill="1" applyBorder="1" applyAlignment="1">
      <x:alignment vertical="bottom" wrapText="1"/>
    </x:xf>
    <x:xf numFmtId="0" fontId="0" fillId="0" borderId="10" xfId="0" applyNumberFormat="1" applyFont="1" applyFill="1" applyBorder="1" applyAlignment="1">
      <x:alignment vertical="bottom" wrapText="1"/>
    </x:xf>
    <x:xf numFmtId="0" fontId="0" fillId="0" borderId="11" xfId="0" applyNumberFormat="1" applyFont="1" applyFill="1" applyBorder="1" applyAlignment="1">
      <x:alignment vertical="bottom" wrapText="1"/>
    </x:xf>
    <x:xf numFmtId="201" fontId="0" fillId="0" borderId="11" xfId="0" applyNumberFormat="1" applyFont="1" applyFill="1" applyBorder="1" applyAlignment="1">
      <x:alignment vertical="bottom" wrapText="1"/>
    </x:xf>
    <x:xf numFmtId="200" fontId="0" fillId="0" borderId="11" xfId="0" applyNumberFormat="1" applyFont="1" applyFill="1" applyBorder="1" applyAlignment="1">
      <x:alignment vertical="bottom" wrapText="1"/>
    </x:xf>
    <x:xf numFmtId="201" fontId="0" fillId="0" borderId="0" xfId="0" applyNumberFormat="1" applyFont="1" applyFill="1" applyBorder="1" applyAlignment="1">
      <x:alignment vertical="bottom" wrapText="0"/>
    </x:xf>
    <x:xf numFmtId="203" fontId="0" fillId="0" borderId="0" xfId="0" applyNumberFormat="1" applyFont="1" applyFill="1" applyBorder="1" applyAlignment="1">
      <x:alignment vertical="bottom" wrapText="0"/>
    </x:xf>
    <x:xf numFmtId="204" fontId="0" fillId="0" borderId="0" xfId="0" applyNumberFormat="1" applyFont="1" applyFill="1" applyBorder="1" applyAlignment="1">
      <x:alignment vertical="bottom" wrapText="0"/>
    </x:xf>
    <x:xf numFmtId="202" fontId="0" fillId="0" borderId="0" xfId="0" applyNumberFormat="1" applyFont="1" applyFill="1" applyBorder="1" applyAlignment="1">
      <x:alignment vertical="bottom" wrapText="0"/>
    </x:xf>
    <x:xf numFmtId="0" fontId="0" fillId="0" borderId="3" xfId="0" applyNumberFormat="1" applyFont="1" applyFill="1" applyBorder="1" applyAlignment="1">
      <x:alignment vertical="bottom" wrapText="0"/>
    </x:xf>
    <x:xf numFmtId="201" fontId="0" fillId="0" borderId="3" xfId="0" applyNumberFormat="1" applyFont="1" applyFill="1" applyBorder="1" applyAlignment="1">
      <x:alignment vertical="bottom" wrapText="0"/>
    </x:xf>
    <x:xf numFmtId="203" fontId="0" fillId="0" borderId="3" xfId="0" applyNumberFormat="1" applyFont="1" applyFill="1" applyBorder="1" applyAlignment="1">
      <x:alignment vertical="bottom" wrapText="0"/>
    </x:xf>
    <x:xf numFmtId="204" fontId="0" fillId="0" borderId="3" xfId="0" applyNumberFormat="1" applyFont="1" applyFill="1" applyBorder="1" applyAlignment="1">
      <x:alignment vertical="bottom" wrapText="0"/>
    </x:xf>
    <x:xf numFmtId="202" fontId="0" fillId="0" borderId="3" xfId="0" applyNumberFormat="1" applyFont="1" applyFill="1" applyBorder="1" applyAlignment="1">
      <x:alignment vertical="bottom" wrapText="0"/>
    </x:xf>
    <x:xf numFmtId="0" fontId="0" fillId="2" borderId="3" xfId="0" applyNumberFormat="1" applyFont="1" applyFill="1" applyBorder="1" applyAlignment="1">
      <x:alignment vertical="bottom" wrapText="0"/>
    </x:xf>
    <x:xf numFmtId="0" fontId="3" fillId="2" borderId="3" xfId="0" applyNumberFormat="1" applyFont="1" applyFill="1" applyBorder="1" applyAlignment="1">
      <x:alignment vertical="bottom" wrapText="0"/>
    </x:xf>
    <x:xf numFmtId="0" fontId="3" fillId="2" borderId="3" xfId="0" applyNumberFormat="1" applyFont="1" applyFill="1" applyBorder="1" applyAlignment="1">
      <x:alignment vertical="center" wrapText="1"/>
    </x:xf>
    <x:xf numFmtId="0" fontId="0" fillId="3" borderId="3" xfId="0" applyNumberFormat="1" applyFont="1" applyFill="1" applyBorder="1" applyAlignment="1">
      <x:alignment vertical="bottom" wrapText="0"/>
    </x:xf>
    <x:xf numFmtId="0" fontId="4" fillId="3" borderId="3" xfId="0" applyNumberFormat="1" applyFont="1" applyFill="1" applyBorder="1" applyAlignment="1">
      <x:alignment vertical="bottom" wrapText="0"/>
    </x:xf>
    <x:xf numFmtId="201" fontId="0" fillId="4" borderId="3" xfId="0" applyNumberFormat="1" applyFont="1" applyFill="1" applyBorder="1" applyAlignment="1">
      <x:alignment vertical="bottom" wrapText="0"/>
    </x:xf>
    <x:xf numFmtId="201" fontId="0" fillId="5" borderId="3" xfId="0" applyNumberFormat="1" applyFont="1" applyFill="1" applyBorder="1" applyAlignment="1">
      <x:alignment vertical="bottom" wrapText="0"/>
    </x:xf>
    <x:xf numFmtId="204" fontId="0" fillId="4" borderId="3" xfId="0" applyNumberFormat="1" applyFont="1" applyFill="1" applyBorder="1" applyAlignment="1">
      <x:alignment vertical="bottom" wrapText="0"/>
    </x:xf>
    <x:xf numFmtId="0" fontId="0" fillId="0" borderId="0" xfId="0" applyNumberFormat="1" applyFont="1" applyFill="1" applyBorder="1" applyAlignment="1">
      <x:alignment vertical="center" wrapText="0"/>
    </x:xf>
    <x:xf numFmtId="0" fontId="4" fillId="3" borderId="3" xfId="0" applyNumberFormat="1" applyFont="1" applyFill="1" applyBorder="1" applyAlignment="1">
      <x:alignment vertical="center" wrapText="0"/>
    </x:xf>
    <x:xf numFmtId="201" fontId="0" fillId="0" borderId="3" xfId="0" applyNumberFormat="1" applyFont="1" applyFill="1" applyBorder="1" applyAlignment="1">
      <x:alignment vertical="center" wrapText="0"/>
    </x:xf>
    <x:xf numFmtId="0" fontId="0" fillId="0" borderId="3" xfId="0" applyNumberFormat="1" applyFont="1" applyFill="1" applyBorder="1" applyAlignment="1">
      <x:alignment vertical="center" wrapText="0"/>
    </x:xf>
    <x:xf numFmtId="204" fontId="0" fillId="0" borderId="3" xfId="0" applyNumberFormat="1" applyFont="1" applyFill="1" applyBorder="1" applyAlignment="1">
      <x:alignment vertical="center" wrapText="0"/>
    </x:xf>
    <x:xf numFmtId="201" fontId="0" fillId="4" borderId="3" xfId="0" applyNumberFormat="1" applyFont="1" applyFill="1" applyBorder="1" applyAlignment="1">
      <x:alignment vertical="center" wrapText="0"/>
    </x:xf>
    <x:xf numFmtId="201" fontId="0" fillId="5" borderId="3" xfId="0" applyNumberFormat="1" applyFont="1" applyFill="1" applyBorder="1" applyAlignment="1">
      <x:alignment vertical="center" wrapText="0"/>
    </x:xf>
    <x:xf numFmtId="203" fontId="0" fillId="0" borderId="3" xfId="0" applyNumberFormat="1" applyFont="1" applyFill="1" applyBorder="1" applyAlignment="1">
      <x:alignment vertical="center" wrapText="0"/>
    </x:xf>
    <x:xf numFmtId="204" fontId="0" fillId="4" borderId="3" xfId="0" applyNumberFormat="1" applyFont="1" applyFill="1" applyBorder="1" applyAlignment="1">
      <x:alignment vertical="center" wrapText="0"/>
    </x:xf>
    <x:xf numFmtId="202" fontId="0" fillId="0" borderId="3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201" fontId="0" fillId="0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204" fontId="0" fillId="0" borderId="3" xfId="0" applyNumberFormat="1" applyFont="1" applyFill="1" applyBorder="1" applyAlignment="1">
      <x:alignment vertical="center" wrapText="1"/>
    </x:xf>
    <x:xf numFmtId="201" fontId="0" fillId="4" borderId="3" xfId="0" applyNumberFormat="1" applyFont="1" applyFill="1" applyBorder="1" applyAlignment="1">
      <x:alignment vertical="center" wrapText="1"/>
    </x:xf>
    <x:xf numFmtId="201" fontId="0" fillId="5" borderId="3" xfId="0" applyNumberFormat="1" applyFont="1" applyFill="1" applyBorder="1" applyAlignment="1">
      <x:alignment vertical="center" wrapText="1"/>
    </x:xf>
    <x:xf numFmtId="203" fontId="0" fillId="0" borderId="3" xfId="0" applyNumberFormat="1" applyFont="1" applyFill="1" applyBorder="1" applyAlignment="1">
      <x:alignment vertical="center" wrapText="1"/>
    </x:xf>
    <x:xf numFmtId="204" fontId="0" fillId="4" borderId="3" xfId="0" applyNumberFormat="1" applyFont="1" applyFill="1" applyBorder="1" applyAlignment="1">
      <x:alignment vertical="center" wrapText="1"/>
    </x:xf>
    <x:xf numFmtId="202" fontId="0" fillId="0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bottom" wrapText="0"/>
    </x:xf>
    <x:xf numFmtId="0" fontId="4" fillId="5" borderId="0" xfId="0" applyNumberFormat="1" applyFont="1" applyFill="1" applyBorder="1" applyAlignment="1">
      <x:alignment vertical="bottom" wrapText="0"/>
    </x:xf>
    <x:xf numFmtId="0" fontId="0" fillId="5" borderId="0" xfId="0" applyNumberFormat="1" applyFont="1" applyFill="1" applyBorder="1" applyAlignment="1">
      <x:alignment vertical="bottom" wrapText="1"/>
    </x:xf>
    <x:xf numFmtId="0" fontId="0" fillId="5" borderId="0" xfId="0" applyNumberFormat="1" applyFont="1" applyFill="1" applyBorder="1" applyAlignment="1">
      <x:alignment vertical="center" wrapText="1"/>
    </x:xf>
    <x:xf numFmtId="0" fontId="4" fillId="5" borderId="13" xfId="0" applyNumberFormat="1" applyFont="1" applyFill="1" applyBorder="1" applyAlignment="1">
      <x:alignment vertical="bottom" wrapText="0"/>
    </x:xf>
    <x:xf numFmtId="0" fontId="0" fillId="5" borderId="14" xfId="0" applyNumberFormat="1" applyFont="1" applyFill="1" applyBorder="1" applyAlignment="1">
      <x:alignment vertical="center" wrapText="1"/>
    </x:xf>
    <x:xf numFmtId="0" fontId="0" fillId="5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bottom" wrapText="0"/>
    </x:xf>
    <x:xf numFmtId="0" fontId="0" fillId="5" borderId="17" xfId="0" applyNumberFormat="1" applyFont="1" applyFill="1" applyBorder="1" applyAlignment="1">
      <x:alignment vertical="center" wrapText="1"/>
    </x:xf>
    <x:xf numFmtId="0" fontId="0" fillId="5" borderId="1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ill>
        <x:patternFill patternType="none"/>
      </x:fill>
      <x:border/>
    </x:dxf>
    <x:dxf>
      <x:fill>
        <x:patternFill>
          <x:bgColor rgb="FF5B3F86"/>
        </x:patternFill>
      </x:fill>
      <x:border/>
    </x:dxf>
    <x:dxf>
      <x:fill>
        <x:patternFill>
          <x:bgColor rgb="FFFFFFFF"/>
        </x:patternFill>
      </x:fill>
      <x:border/>
    </x:dxf>
    <x:dxf>
      <x:fill>
        <x:patternFill>
          <x:bgColor rgb="FFF8F9FA"/>
        </x:patternFill>
      </x:fill>
      <x:border/>
    </x:dxf>
    <x:dxf>
      <x:border>
        <x:left style="thin">
          <x:color rgb="FF5B3F86"/>
        </x:left>
        <x:right style="thin">
          <x:color rgb="FF5B3F86"/>
        </x:right>
        <x:top style="thin">
          <x:color rgb="FF5B3F86"/>
        </x:top>
        <x:bottom style="thin">
          <x:color rgb="FF5B3F86"/>
        </x:bottom>
      </x:border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8c9241e2db416b" /><Relationship Type="http://schemas.openxmlformats.org/officeDocument/2006/relationships/theme" Target="/xl/theme/theme1.xml" Id="R20844084d96c49f0" /><Relationship Type="http://schemas.openxmlformats.org/officeDocument/2006/relationships/sharedStrings" Target="/xl/sharedStrings.xml" Id="R833ce50d2f0b4676" /><Relationship Type="http://schemas.openxmlformats.org/officeDocument/2006/relationships/worksheet" Target="/xl/worksheets/sheet1.xml" Id="Re0a88ad90b564201" /><Relationship Type="http://schemas.openxmlformats.org/officeDocument/2006/relationships/worksheet" Target="/xl/worksheets/sheet2.xml" Id="R8c8f3eec686f424e" /><Relationship Type="http://schemas.openxmlformats.org/officeDocument/2006/relationships/worksheet" Target="/xl/worksheets/sheet3.xml" Id="R9ca8e606d98e466d" /><Relationship Type="http://schemas.openxmlformats.org/officeDocument/2006/relationships/worksheet" Target="/xl/worksheets/sheet4.xml" Id="R5ab42ce7617a4bff" /></Relationships>
</file>

<file path=xl/tables/table1.xml><?xml version="1.0" encoding="utf-8"?>
<x:table xmlns:x="http://schemas.openxmlformats.org/spreadsheetml/2006/main" id="1" name="Form_Responses" displayName="Form_Responses" ref="A1:Q12">
  <x:tableColumns count="17">
    <x:tableColumn id="1" name="Timestamp"/>
    <x:tableColumn id="2" name="Score"/>
    <x:tableColumn id="3" name="I consent to my responses being used for this academic evaluation."/>
    <x:tableColumn id="4" name="Participant Code (e.g., P1, P2)"/>
    <x:tableColumn id="5" name="Professional Role"/>
    <x:tableColumn id="6" name="Years of Relevant Experience"/>
    <x:tableColumn id="7" name="Evaluation Date"/>
    <x:tableColumn id="8" name="1. I think that I would like to use this system frequently."/>
    <x:tableColumn id="9" name="2. I found the system unnecessarily complex."/>
    <x:tableColumn id="10" name="3. I thought the system was easy to use."/>
    <x:tableColumn id="11" name="4. I think that I would need technical support to use this system."/>
    <x:tableColumn id="12" name="5. I found the system's functions well integrated."/>
    <x:tableColumn id="13" name="6. I thought there was too much inconsistency in the system."/>
    <x:tableColumn id="14" name="7. I imagine that most people would learn to use this system quickly."/>
    <x:tableColumn id="15" name="8. I found the system very cumbersome to use."/>
    <x:tableColumn id="16" name="9. I felt confident using the system."/>
    <x:tableColumn id="17" name="10. I needed to learn many things before I could use the system effectively."/>
  </x:tableColumns>
  <x:tableStyleInfo name="Form Responses 1-style" showFirstColumn="1" showLastColumn="1" showRowStripes="1" showColumnStripes="0"/>
</x:table>
</file>

<file path=xl/tables/table2.xml><?xml version="1.0" encoding="utf-8"?>
<x:table xmlns:x="http://schemas.openxmlformats.org/spreadsheetml/2006/main" id="2" name="SUSScoringTable" displayName="SUSScoringTable" ref="A1:AC12" headerRowCount="1" totalsRowCount="0" totalsRowShown="0">
  <x:tableColumns count="29">
    <x:tableColumn id="1" name="Participant Code"/>
    <x:tableColumn id="2" name="Raw Role"/>
    <x:tableColumn id="3" name="Role Group"/>
    <x:tableColumn id="4" name="Years Experience"/>
    <x:tableColumn id="5" name="Evaluation Date"/>
    <x:tableColumn id="6" name="Inclusion Status"/>
    <x:tableColumn id="7" name="Exclusion Reason"/>
    <x:tableColumn id="8" name="Q1"/>
    <x:tableColumn id="9" name="Q2"/>
    <x:tableColumn id="10" name="Q3"/>
    <x:tableColumn id="11" name="Q4"/>
    <x:tableColumn id="12" name="Q5"/>
    <x:tableColumn id="13" name="Q6"/>
    <x:tableColumn id="14" name="Q7"/>
    <x:tableColumn id="15" name="Q8"/>
    <x:tableColumn id="16" name="Q9"/>
    <x:tableColumn id="17" name="Q10"/>
    <x:tableColumn id="18" name="Adjusted Q1"/>
    <x:tableColumn id="19" name="Adjusted Q2"/>
    <x:tableColumn id="20" name="Adjusted Q3"/>
    <x:tableColumn id="21" name="Adjusted Q4"/>
    <x:tableColumn id="22" name="Adjusted Q5"/>
    <x:tableColumn id="23" name="Adjusted Q6"/>
    <x:tableColumn id="24" name="Adjusted Q7"/>
    <x:tableColumn id="25" name="Adjusted Q8"/>
    <x:tableColumn id="26" name="Adjusted Q9"/>
    <x:tableColumn id="27" name="Adjusted Q10"/>
    <x:tableColumn id="28" name="Adjusted Sum"/>
    <x:tableColumn id="29" name="SUS 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7a4507ca5744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f2e25f00ec4bd1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2" width="18.8799991607666" customWidth="1"/>
    <x:col min="3" max="3" width="37.630001068115234" customWidth="1"/>
    <x:col min="4" max="4" width="27" customWidth="1"/>
    <x:col min="5" max="5" width="18.8799991607666" customWidth="1"/>
    <x:col min="6" max="6" width="26.25" customWidth="1"/>
    <x:col min="7" max="7" width="18.8799991607666" customWidth="1"/>
    <x:col min="8" max="9" width="37.630001068115234" customWidth="1"/>
    <x:col min="10" max="10" width="34.380001068115234" customWidth="1"/>
    <x:col min="11" max="15" width="37.630001068115234" customWidth="1"/>
    <x:col min="16" max="16" width="30.75" customWidth="1"/>
    <x:col min="17" max="17" width="37.630001068115234" customWidth="1"/>
    <x:col min="18" max="23" width="18.8799991607666" customWidth="1"/>
  </x:cols>
  <x:sheetData>
    <x:row r="1" ht="22.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ht="22.5" customHeight="1">
      <x:c r="A2" s="2">
        <x:v>46259.0</x:v>
      </x:c>
      <x:c r="B2" s="3">
        <x:v>0.0</x:v>
      </x:c>
      <x:c r="C2" s="4" t="s">
        <x:v>17</x:v>
      </x:c>
      <x:c r="D2" s="4" t="s">
        <x:v>18</x:v>
      </x:c>
      <x:c r="E2" s="4" t="s">
        <x:v>19</x:v>
      </x:c>
      <x:c r="F2" s="4">
        <x:v>2.0</x:v>
      </x:c>
      <x:c r="G2" s="5">
        <x:v>46259.0</x:v>
      </x:c>
      <x:c r="H2" s="4">
        <x:v>5.0</x:v>
      </x:c>
      <x:c r="I2" s="4">
        <x:v>2.0</x:v>
      </x:c>
      <x:c r="J2" s="4">
        <x:v>4.0</x:v>
      </x:c>
      <x:c r="K2" s="4">
        <x:v>1.0</x:v>
      </x:c>
      <x:c r="L2" s="4">
        <x:v>4.0</x:v>
      </x:c>
      <x:c r="M2" s="4">
        <x:v>1.0</x:v>
      </x:c>
      <x:c r="N2" s="4">
        <x:v>5.0</x:v>
      </x:c>
      <x:c r="O2" s="4">
        <x:v>1.0</x:v>
      </x:c>
      <x:c r="P2" s="4">
        <x:v>5.0</x:v>
      </x:c>
      <x:c r="Q2" s="4">
        <x:v>1.0</x:v>
      </x:c>
    </x:row>
    <x:row r="3" ht="22.5" customHeight="1">
      <x:c r="A3" s="2">
        <x:v>46257.0</x:v>
      </x:c>
      <x:c r="B3" s="3">
        <x:v>0.0</x:v>
      </x:c>
      <x:c r="C3" s="4" t="s">
        <x:v>17</x:v>
      </x:c>
      <x:c r="D3" s="4" t="s">
        <x:v>20</x:v>
      </x:c>
      <x:c r="E3" s="4" t="s">
        <x:v>21</x:v>
      </x:c>
      <x:c r="F3" s="4">
        <x:v>5.0</x:v>
      </x:c>
      <x:c r="G3" s="5">
        <x:v>46257.0</x:v>
      </x:c>
      <x:c r="H3" s="4">
        <x:v>4.0</x:v>
      </x:c>
      <x:c r="I3" s="4">
        <x:v>3.0</x:v>
      </x:c>
      <x:c r="J3" s="4">
        <x:v>3.0</x:v>
      </x:c>
      <x:c r="K3" s="4">
        <x:v>2.0</x:v>
      </x:c>
      <x:c r="L3" s="4">
        <x:v>4.0</x:v>
      </x:c>
      <x:c r="M3" s="4">
        <x:v>1.0</x:v>
      </x:c>
      <x:c r="N3" s="4">
        <x:v>4.0</x:v>
      </x:c>
      <x:c r="O3" s="4">
        <x:v>3.0</x:v>
      </x:c>
      <x:c r="P3" s="4">
        <x:v>4.0</x:v>
      </x:c>
      <x:c r="Q3" s="4">
        <x:v>2.0</x:v>
      </x:c>
    </x:row>
    <x:row r="4" ht="22.5" customHeight="1">
      <x:c r="A4" s="2">
        <x:v>46258.0</x:v>
      </x:c>
      <x:c r="B4" s="3">
        <x:v>0.0</x:v>
      </x:c>
      <x:c r="C4" s="4" t="s">
        <x:v>17</x:v>
      </x:c>
      <x:c r="D4" s="4" t="s">
        <x:v>22</x:v>
      </x:c>
      <x:c r="E4" s="4" t="s">
        <x:v>23</x:v>
      </x:c>
      <x:c r="F4" s="4">
        <x:v>3.0</x:v>
      </x:c>
      <x:c r="G4" s="5">
        <x:v>46258.0</x:v>
      </x:c>
      <x:c r="H4" s="4">
        <x:v>5.0</x:v>
      </x:c>
      <x:c r="I4" s="4">
        <x:v>4.0</x:v>
      </x:c>
      <x:c r="J4" s="4">
        <x:v>3.0</x:v>
      </x:c>
      <x:c r="K4" s="4">
        <x:v>3.0</x:v>
      </x:c>
      <x:c r="L4" s="4">
        <x:v>3.0</x:v>
      </x:c>
      <x:c r="M4" s="4">
        <x:v>2.0</x:v>
      </x:c>
      <x:c r="N4" s="4">
        <x:v>3.0</x:v>
      </x:c>
      <x:c r="O4" s="4">
        <x:v>2.0</x:v>
      </x:c>
      <x:c r="P4" s="4">
        <x:v>4.0</x:v>
      </x:c>
      <x:c r="Q4" s="4">
        <x:v>2.0</x:v>
      </x:c>
    </x:row>
    <x:row r="5" ht="22.5" customHeight="1">
      <x:c r="A5" s="6">
        <x:v>46260.0</x:v>
      </x:c>
      <x:c r="B5" s="7">
        <x:v>0.0</x:v>
      </x:c>
      <x:c r="C5" s="8" t="s">
        <x:v>17</x:v>
      </x:c>
      <x:c r="D5" s="8" t="s">
        <x:v>24</x:v>
      </x:c>
      <x:c r="E5" s="8" t="s">
        <x:v>25</x:v>
      </x:c>
      <x:c r="F5" s="8">
        <x:v>1.0</x:v>
      </x:c>
      <x:c r="G5" s="9">
        <x:v>46260.0</x:v>
      </x:c>
      <x:c r="H5" s="8">
        <x:v>5.0</x:v>
      </x:c>
      <x:c r="I5" s="8">
        <x:v>1.0</x:v>
      </x:c>
      <x:c r="J5" s="8">
        <x:v>5.0</x:v>
      </x:c>
      <x:c r="K5" s="8">
        <x:v>2.0</x:v>
      </x:c>
      <x:c r="L5" s="8">
        <x:v>5.0</x:v>
      </x:c>
      <x:c r="M5" s="8">
        <x:v>1.0</x:v>
      </x:c>
      <x:c r="N5" s="8">
        <x:v>5.0</x:v>
      </x:c>
      <x:c r="O5" s="8">
        <x:v>1.0</x:v>
      </x:c>
      <x:c r="P5" s="8">
        <x:v>4.0</x:v>
      </x:c>
      <x:c r="Q5" s="8">
        <x:v>2.0</x:v>
      </x:c>
    </x:row>
    <x:row r="6" ht="22.5" customHeight="1">
      <x:c r="A6" s="6">
        <x:v>46256.0</x:v>
      </x:c>
      <x:c r="B6" s="7">
        <x:v>0.0</x:v>
      </x:c>
      <x:c r="C6" s="8" t="s">
        <x:v>17</x:v>
      </x:c>
      <x:c r="D6" s="8" t="s">
        <x:v>26</x:v>
      </x:c>
      <x:c r="E6" s="8" t="s">
        <x:v>27</x:v>
      </x:c>
      <x:c r="F6" s="8">
        <x:v>3.0</x:v>
      </x:c>
      <x:c r="G6" s="9">
        <x:v>46256.0</x:v>
      </x:c>
      <x:c r="H6" s="8">
        <x:v>5.0</x:v>
      </x:c>
      <x:c r="I6" s="8">
        <x:v>2.0</x:v>
      </x:c>
      <x:c r="J6" s="8">
        <x:v>4.0</x:v>
      </x:c>
      <x:c r="K6" s="8">
        <x:v>1.0</x:v>
      </x:c>
      <x:c r="L6" s="8">
        <x:v>4.0</x:v>
      </x:c>
      <x:c r="M6" s="8">
        <x:v>1.0</x:v>
      </x:c>
      <x:c r="N6" s="8">
        <x:v>5.0</x:v>
      </x:c>
      <x:c r="O6" s="8">
        <x:v>1.0</x:v>
      </x:c>
      <x:c r="P6" s="8">
        <x:v>4.0</x:v>
      </x:c>
      <x:c r="Q6" s="8">
        <x:v>1.0</x:v>
      </x:c>
    </x:row>
    <x:row r="7" ht="22.5" customHeight="1">
      <x:c r="A7" s="6">
        <x:v>46260.0</x:v>
      </x:c>
      <x:c r="B7" s="7">
        <x:v>0.0</x:v>
      </x:c>
      <x:c r="C7" s="8" t="s">
        <x:v>17</x:v>
      </x:c>
      <x:c r="D7" s="8" t="s">
        <x:v>28</x:v>
      </x:c>
      <x:c r="E7" s="8" t="s">
        <x:v>29</x:v>
      </x:c>
      <x:c r="F7" s="8">
        <x:v>4.0</x:v>
      </x:c>
      <x:c r="G7" s="9">
        <x:v>46260.0</x:v>
      </x:c>
      <x:c r="H7" s="8">
        <x:v>5.0</x:v>
      </x:c>
      <x:c r="I7" s="8">
        <x:v>1.0</x:v>
      </x:c>
      <x:c r="J7" s="8">
        <x:v>4.0</x:v>
      </x:c>
      <x:c r="K7" s="8">
        <x:v>1.0</x:v>
      </x:c>
      <x:c r="L7" s="8">
        <x:v>4.0</x:v>
      </x:c>
      <x:c r="M7" s="8">
        <x:v>1.0</x:v>
      </x:c>
      <x:c r="N7" s="8">
        <x:v>5.0</x:v>
      </x:c>
      <x:c r="O7" s="8">
        <x:v>1.0</x:v>
      </x:c>
      <x:c r="P7" s="8">
        <x:v>5.0</x:v>
      </x:c>
      <x:c r="Q7" s="8">
        <x:v>1.0</x:v>
      </x:c>
    </x:row>
    <x:row r="8" ht="22.5" customHeight="1">
      <x:c r="A8" s="6">
        <x:v>46259.0</x:v>
      </x:c>
      <x:c r="B8" s="7">
        <x:v>0.0</x:v>
      </x:c>
      <x:c r="C8" s="8" t="s">
        <x:v>17</x:v>
      </x:c>
      <x:c r="D8" s="8" t="s">
        <x:v>30</x:v>
      </x:c>
      <x:c r="E8" s="8" t="s">
        <x:v>31</x:v>
      </x:c>
      <x:c r="F8" s="8">
        <x:v>1.0</x:v>
      </x:c>
      <x:c r="G8" s="9">
        <x:v>46259.0</x:v>
      </x:c>
      <x:c r="H8" s="8">
        <x:v>4.0</x:v>
      </x:c>
      <x:c r="I8" s="8">
        <x:v>2.0</x:v>
      </x:c>
      <x:c r="J8" s="8">
        <x:v>4.0</x:v>
      </x:c>
      <x:c r="K8" s="8">
        <x:v>1.0</x:v>
      </x:c>
      <x:c r="L8" s="8">
        <x:v>4.0</x:v>
      </x:c>
      <x:c r="M8" s="8">
        <x:v>2.0</x:v>
      </x:c>
      <x:c r="N8" s="8">
        <x:v>4.0</x:v>
      </x:c>
      <x:c r="O8" s="8">
        <x:v>2.0</x:v>
      </x:c>
      <x:c r="P8" s="8">
        <x:v>4.0</x:v>
      </x:c>
      <x:c r="Q8" s="8">
        <x:v>2.0</x:v>
      </x:c>
    </x:row>
    <x:row r="9" ht="22.5" customHeight="1">
      <x:c r="A9" s="6">
        <x:v>46257.0</x:v>
      </x:c>
      <x:c r="B9" s="7">
        <x:v>0.0</x:v>
      </x:c>
      <x:c r="C9" s="8" t="s">
        <x:v>17</x:v>
      </x:c>
      <x:c r="D9" s="8" t="s">
        <x:v>32</x:v>
      </x:c>
      <x:c r="E9" s="8" t="s">
        <x:v>33</x:v>
      </x:c>
      <x:c r="F9" s="8">
        <x:v>3.0</x:v>
      </x:c>
      <x:c r="G9" s="9">
        <x:v>46257.0</x:v>
      </x:c>
      <x:c r="H9" s="8">
        <x:v>5.0</x:v>
      </x:c>
      <x:c r="I9" s="8">
        <x:v>1.0</x:v>
      </x:c>
      <x:c r="J9" s="8">
        <x:v>5.0</x:v>
      </x:c>
      <x:c r="K9" s="8">
        <x:v>1.0</x:v>
      </x:c>
      <x:c r="L9" s="8">
        <x:v>4.0</x:v>
      </x:c>
      <x:c r="M9" s="8">
        <x:v>1.0</x:v>
      </x:c>
      <x:c r="N9" s="8">
        <x:v>5.0</x:v>
      </x:c>
      <x:c r="O9" s="8">
        <x:v>1.0</x:v>
      </x:c>
      <x:c r="P9" s="8">
        <x:v>5.0</x:v>
      </x:c>
      <x:c r="Q9" s="8">
        <x:v>1.0</x:v>
      </x:c>
    </x:row>
    <x:row r="10" ht="22.5" customHeight="1">
      <x:c r="A10" s="6">
        <x:v>46260.0</x:v>
      </x:c>
      <x:c r="B10" s="7">
        <x:v>0.0</x:v>
      </x:c>
      <x:c r="C10" s="8" t="s">
        <x:v>17</x:v>
      </x:c>
      <x:c r="D10" s="8" t="s">
        <x:v>34</x:v>
      </x:c>
      <x:c r="E10" s="8" t="s">
        <x:v>35</x:v>
      </x:c>
      <x:c r="F10" s="8">
        <x:v>6.0</x:v>
      </x:c>
      <x:c r="G10" s="9">
        <x:v>46260.0</x:v>
      </x:c>
      <x:c r="H10" s="8">
        <x:v>5.0</x:v>
      </x:c>
      <x:c r="I10" s="8">
        <x:v>1.0</x:v>
      </x:c>
      <x:c r="K10" s="8">
        <x:v>1.0</x:v>
      </x:c>
      <x:c r="L10" s="8">
        <x:v>4.0</x:v>
      </x:c>
      <x:c r="M10" s="8">
        <x:v>2.0</x:v>
      </x:c>
      <x:c r="N10" s="8">
        <x:v>5.0</x:v>
      </x:c>
      <x:c r="O10" s="8">
        <x:v>2.0</x:v>
      </x:c>
      <x:c r="P10" s="8">
        <x:v>4.0</x:v>
      </x:c>
      <x:c r="Q10" s="8">
        <x:v>1.0</x:v>
      </x:c>
    </x:row>
    <x:row r="11" ht="22.5" customHeight="1">
      <x:c r="A11" s="6">
        <x:v>46259.0</x:v>
      </x:c>
      <x:c r="B11" s="7">
        <x:v>0.0</x:v>
      </x:c>
      <x:c r="C11" s="8" t="s">
        <x:v>17</x:v>
      </x:c>
      <x:c r="D11" s="8" t="s">
        <x:v>36</x:v>
      </x:c>
      <x:c r="E11" s="8" t="s">
        <x:v>29</x:v>
      </x:c>
      <x:c r="F11" s="8">
        <x:v>4.0</x:v>
      </x:c>
      <x:c r="G11" s="9">
        <x:v>46259.0</x:v>
      </x:c>
      <x:c r="H11" s="8">
        <x:v>5.0</x:v>
      </x:c>
      <x:c r="I11" s="8">
        <x:v>2.0</x:v>
      </x:c>
      <x:c r="J11" s="8">
        <x:v>4.0</x:v>
      </x:c>
      <x:c r="K11" s="8">
        <x:v>1.0</x:v>
      </x:c>
      <x:c r="L11" s="8">
        <x:v>3.0</x:v>
      </x:c>
      <x:c r="M11" s="8">
        <x:v>2.0</x:v>
      </x:c>
      <x:c r="N11" s="8">
        <x:v>3.0</x:v>
      </x:c>
      <x:c r="O11" s="8">
        <x:v>3.0</x:v>
      </x:c>
      <x:c r="P11" s="8">
        <x:v>4.0</x:v>
      </x:c>
      <x:c r="Q11" s="8">
        <x:v>1.0</x:v>
      </x:c>
    </x:row>
    <x:row r="12" ht="22.5" customHeight="1">
      <x:c r="A12" s="6">
        <x:v>46260.0</x:v>
      </x:c>
      <x:c r="B12" s="7">
        <x:v>0.0</x:v>
      </x:c>
      <x:c r="C12" s="8" t="s">
        <x:v>17</x:v>
      </x:c>
      <x:c r="D12" s="8" t="s">
        <x:v>37</x:v>
      </x:c>
      <x:c r="E12" s="8" t="s">
        <x:v>38</x:v>
      </x:c>
      <x:c r="F12" s="8">
        <x:v>2.0</x:v>
      </x:c>
      <x:c r="G12" s="9">
        <x:v>46260.0</x:v>
      </x:c>
      <x:c r="H12" s="8">
        <x:v>3.0</x:v>
      </x:c>
      <x:c r="I12" s="8">
        <x:v>4.0</x:v>
      </x:c>
      <x:c r="J12" s="8">
        <x:v>3.0</x:v>
      </x:c>
      <x:c r="K12" s="8">
        <x:v>3.0</x:v>
      </x:c>
      <x:c r="L12" s="8">
        <x:v>3.0</x:v>
      </x:c>
      <x:c r="M12" s="8">
        <x:v>4.0</x:v>
      </x:c>
      <x:c r="N12" s="8">
        <x:v>3.0</x:v>
      </x:c>
      <x:c r="O12" s="8">
        <x:v>4.0</x:v>
      </x:c>
      <x:c r="P12" s="8">
        <x:v>3.0</x:v>
      </x:c>
      <x:c r="Q12" s="8">
        <x:v>4.0</x:v>
      </x:c>
    </x:row>
  </x:sheetData>
  <x:pageMargins left="0.7" right="0.7" top="0.75" bottom="0.75" header="0.3" footer="0.3"/>
  <x:tableParts count="1">
    <x:tablePart xmlns:r="http://schemas.openxmlformats.org/officeDocument/2006/relationships" r:id="R0c7a4507ca57444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2" hidden="0" customWidth="1"/>
  </x:cols>
  <x:sheetData>
    <x:row r="1" ht="28" customHeight="1">
      <x:c r="A1" s="12" t="str">
        <x:v>InfraGuard AI SUS Analysis: Method and Provenance</x:v>
      </x:c>
      <x:c r="B1" s="12"/>
    </x:row>
    <x:row r="3" ht="15" hidden="0" customHeight="1">
      <x:c r="A3" s="23" t="str">
        <x:v>Field</x:v>
      </x:c>
      <x:c r="B3" s="23" t="str">
        <x:v>Recorded method or provenance</x:v>
      </x:c>
    </x:row>
    <x:row r="4" ht="15" hidden="0" customHeight="1">
      <x:c r="A4" s="24" t="str">
        <x:v>Source workbook</x:v>
      </x:c>
      <x:c r="B4" s="25" t="str">
        <x:v>InfraGuard AI System Usability Scale (SUS) (Responses).xlsx</x:v>
      </x:c>
    </x:row>
    <x:row r="5" ht="15" hidden="0" customHeight="1">
      <x:c r="A5" s="24" t="str">
        <x:v>Source SHA-256</x:v>
      </x:c>
      <x:c r="B5" s="25" t="str">
        <x:v>ee7da2f72d651007dd68d652a0aba52fa7b57209247006feb453cb11b45e0f43</x:v>
      </x:c>
    </x:row>
    <x:row r="6" ht="15" hidden="0" customHeight="1">
      <x:c r="A6" s="24" t="str">
        <x:v>Source range</x:v>
      </x:c>
      <x:c r="B6" s="25" t="str">
        <x:v>Form Responses 1!A1:Q12</x:v>
      </x:c>
    </x:row>
    <x:row r="7" ht="24" hidden="0" customHeight="1">
      <x:c r="A7" s="24" t="str">
        <x:v>Human provenance</x:v>
      </x:c>
      <x:c r="B7" s="25" t="str">
        <x:v>The researcher confirmed that P1-P11 represent eleven distinct human practitioners who completed the revised survey; confidential contact mapping is retained outside the public research repository.</x:v>
      </x:c>
    </x:row>
    <x:row r="8" ht="24" hidden="0" customHeight="1">
      <x:c r="A8" s="24" t="str">
        <x:v>Privacy boundary</x:v>
      </x:c>
      <x:c r="B8" s="25" t="str">
        <x:v>Only anonymised participant codes, professional roles, experience, dates, consent, and questionnaire responses are retained in this workbook.</x:v>
      </x:c>
    </x:row>
    <x:row r="9" ht="15" hidden="0" customHeight="1">
      <x:c r="A9" s="24" t="str">
        <x:v>Recruitment</x:v>
      </x:c>
      <x:c r="B9" s="25" t="str">
        <x:v>Eleven consented submissions were received between 2026-08-22 and 2026-08-26.</x:v>
      </x:c>
    </x:row>
    <x:row r="10" ht="15" hidden="0" customHeight="1">
      <x:c r="A10" s="24" t="str">
        <x:v>Inclusion rule</x:v>
      </x:c>
      <x:c r="B10" s="25" t="str">
        <x:v>Include a submission only when consent is present and all ten SUS items contain a valid response from 1 to 5.</x:v>
      </x:c>
    </x:row>
    <x:row r="11" ht="15" hidden="0" customHeight="1">
      <x:c r="A11" s="24" t="str">
        <x:v>Exclusion</x:v>
      </x:c>
      <x:c r="B11" s="25" t="str">
        <x:v>P9 was excluded because Question 3 was blank. No answer was imputed or reconstructed.</x:v>
      </x:c>
    </x:row>
    <x:row r="12" ht="15" hidden="0" customHeight="1">
      <x:c r="A12" s="24" t="str">
        <x:v>Analysed sample</x:v>
      </x:c>
      <x:c r="B12" s="25" t="str">
        <x:v>Ten complete responses: five DevOps/DevSecOps and five SRE practitioners.</x:v>
      </x:c>
    </x:row>
    <x:row r="13" ht="24" hidden="0" customHeight="1">
      <x:c r="A13" s="24" t="str">
        <x:v>SUS scoring</x:v>
      </x:c>
      <x:c r="B13" s="25" t="str">
        <x:v>Odd-numbered items: response minus 1. Even-numbered items: 5 minus response. Sum the ten adjusted contributions and multiply by 2.5 to obtain a score from 0 to 100.</x:v>
      </x:c>
    </x:row>
    <x:row r="14" ht="24" hidden="0" customHeight="1">
      <x:c r="A14" s="24" t="str">
        <x:v>Statistics</x:v>
      </x:c>
      <x:c r="B14" s="25" t="str">
        <x:v>Descriptive statistics only: completion rate, mean, median, sample standard deviation, minimum, maximum, role-group counts, role-group means, and raw item means.</x:v>
      </x:c>
    </x:row>
    <x:row r="15" ht="24" hidden="0" customHeight="1">
      <x:c r="A15" s="24" t="str">
        <x:v>Form Score column</x:v>
      </x:c>
      <x:c r="B15" s="25" t="str">
        <x:v>The source workbook's Score column contains form-quiz zeros and is not a SUS score; it is excluded from every calculation.</x:v>
      </x:c>
    </x:row>
    <x:row r="16" ht="24" hidden="0" customHeight="1">
      <x:c r="A16" s="24" t="str">
        <x:v>Claim boundary</x:v>
      </x:c>
      <x:c r="B16" s="25" t="str">
        <x:v>The result describes perceived usability in this small convenience sample. It does not establish population-level usability, production effectiveness, workload reduction, diagnostic accuracy, or causal impact.</x:v>
      </x:c>
    </x:row>
    <x:row r="17" ht="24" hidden="0" customHeight="1">
      <x:c r="A17" s="24" t="str">
        <x:v>Task-data boundary</x:v>
      </x:c>
      <x:c r="B17" s="25" t="str">
        <x:v>The export does not retain task-by-task completion, timing, error, assistance, or free-text interview records; those outcomes are not claimed.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19" hidden="0" customWidth="1"/>
    <x:col min="4" max="4" width="15" hidden="0" customWidth="1"/>
    <x:col min="5" max="5" width="15" hidden="0" customWidth="1"/>
    <x:col min="6" max="6" width="16" hidden="0" customWidth="1"/>
    <x:col min="7" max="7" width="24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</x:cols>
  <x:sheetData>
    <x:row r="1">
      <x:c r="A1" s="27" t="str">
        <x:v>Participant Code</x:v>
      </x:c>
      <x:c r="B1" s="27" t="str">
        <x:v>Raw Role</x:v>
      </x:c>
      <x:c r="C1" s="27" t="str">
        <x:v>Role Group</x:v>
      </x:c>
      <x:c r="D1" s="27" t="str">
        <x:v>Years Experience</x:v>
      </x:c>
      <x:c r="E1" s="27" t="str">
        <x:v>Evaluation Date</x:v>
      </x:c>
      <x:c r="F1" s="27" t="str">
        <x:v>Inclusion Status</x:v>
      </x:c>
      <x:c r="G1" s="27" t="str">
        <x:v>Exclusion Reason</x:v>
      </x:c>
      <x:c r="H1" s="27" t="str">
        <x:v>Q1</x:v>
      </x:c>
      <x:c r="I1" s="27" t="str">
        <x:v>Q2</x:v>
      </x:c>
      <x:c r="J1" s="27" t="str">
        <x:v>Q3</x:v>
      </x:c>
      <x:c r="K1" s="27" t="str">
        <x:v>Q4</x:v>
      </x:c>
      <x:c r="L1" s="27" t="str">
        <x:v>Q5</x:v>
      </x:c>
      <x:c r="M1" s="27" t="str">
        <x:v>Q6</x:v>
      </x:c>
      <x:c r="N1" s="27" t="str">
        <x:v>Q7</x:v>
      </x:c>
      <x:c r="O1" s="27" t="str">
        <x:v>Q8</x:v>
      </x:c>
      <x:c r="P1" s="27" t="str">
        <x:v>Q9</x:v>
      </x:c>
      <x:c r="Q1" s="27" t="str">
        <x:v>Q10</x:v>
      </x:c>
      <x:c r="R1" s="27" t="str">
        <x:v>Adjusted Q1</x:v>
      </x:c>
      <x:c r="S1" s="27" t="str">
        <x:v>Adjusted Q2</x:v>
      </x:c>
      <x:c r="T1" s="27" t="str">
        <x:v>Adjusted Q3</x:v>
      </x:c>
      <x:c r="U1" s="27" t="str">
        <x:v>Adjusted Q4</x:v>
      </x:c>
      <x:c r="V1" s="27" t="str">
        <x:v>Adjusted Q5</x:v>
      </x:c>
      <x:c r="W1" s="27" t="str">
        <x:v>Adjusted Q6</x:v>
      </x:c>
      <x:c r="X1" s="27" t="str">
        <x:v>Adjusted Q7</x:v>
      </x:c>
      <x:c r="Y1" s="27" t="str">
        <x:v>Adjusted Q8</x:v>
      </x:c>
      <x:c r="Z1" s="27" t="str">
        <x:v>Adjusted Q9</x:v>
      </x:c>
      <x:c r="AA1" s="27" t="str">
        <x:v>Adjusted Q10</x:v>
      </x:c>
      <x:c r="AB1" s="27" t="str">
        <x:v>Adjusted Sum</x:v>
      </x:c>
      <x:c r="AC1" s="27" t="str">
        <x:v>SUS Score</x:v>
      </x:c>
    </x:row>
    <x:row r="2">
      <x:c r="A2" s="46" t="str">
        <x:f>'Form Responses 1'!D2</x:f>
        <x:v>P1</x:v>
      </x:c>
      <x:c r="B2" s="47" t="str">
        <x:f>'Form Responses 1'!E2</x:f>
        <x:v>DevOps Engineer </x:v>
      </x:c>
      <x:c r="C2" s="47" t="str">
        <x:v>DevOps/DevSecOps</x:v>
      </x:c>
      <x:c r="D2" s="48" t="n">
        <x:f>'Form Responses 1'!F2</x:f>
        <x:v>2</x:v>
      </x:c>
      <x:c r="E2" s="49" t="n">
        <x:f>'Form Responses 1'!G2</x:f>
        <x:v>46259</x:v>
      </x:c>
      <x:c r="F2" s="47" t="str">
        <x:f>IF(AND(COUNT(H2:Q2)=10,'Form Responses 1'!C2="Yes, I consent"),"Included","Excluded")</x:f>
        <x:v>Included</x:v>
      </x:c>
      <x:c r="G2" s="47" t="str">
        <x:f>IF(F2="Included","","Incomplete SUS response")</x:f>
      </x:c>
      <x:c r="H2" s="40" t="n">
        <x:f>'Form Responses 1'!H2</x:f>
        <x:v>5</x:v>
      </x:c>
      <x:c r="I2" s="40" t="n">
        <x:f>'Form Responses 1'!I2</x:f>
        <x:v>2</x:v>
      </x:c>
      <x:c r="J2" s="40" t="n">
        <x:f>'Form Responses 1'!J2</x:f>
        <x:v>4</x:v>
      </x:c>
      <x:c r="K2" s="40" t="n">
        <x:f>'Form Responses 1'!K2</x:f>
        <x:v>1</x:v>
      </x:c>
      <x:c r="L2" s="40" t="n">
        <x:f>'Form Responses 1'!L2</x:f>
        <x:v>4</x:v>
      </x:c>
      <x:c r="M2" s="40" t="n">
        <x:f>'Form Responses 1'!M2</x:f>
        <x:v>1</x:v>
      </x:c>
      <x:c r="N2" s="40" t="n">
        <x:f>'Form Responses 1'!N2</x:f>
        <x:v>5</x:v>
      </x:c>
      <x:c r="O2" s="40" t="n">
        <x:f>'Form Responses 1'!O2</x:f>
        <x:v>1</x:v>
      </x:c>
      <x:c r="P2" s="40" t="n">
        <x:f>'Form Responses 1'!P2</x:f>
        <x:v>5</x:v>
      </x:c>
      <x:c r="Q2" s="40" t="n">
        <x:f>'Form Responses 1'!Q2</x:f>
        <x:v>1</x:v>
      </x:c>
      <x:c r="R2" s="40" t="n">
        <x:f>IF(F2="Included",H2-1,"")</x:f>
        <x:v>4</x:v>
      </x:c>
      <x:c r="S2" s="40" t="n">
        <x:f>IF(F2="Included",5-I2,"")</x:f>
        <x:v>3</x:v>
      </x:c>
      <x:c r="T2" s="40" t="n">
        <x:f>IF(F2="Included",J2-1,"")</x:f>
        <x:v>3</x:v>
      </x:c>
      <x:c r="U2" s="40" t="n">
        <x:f>IF(F2="Included",5-K2,"")</x:f>
        <x:v>4</x:v>
      </x:c>
      <x:c r="V2" s="40" t="n">
        <x:f>IF(F2="Included",L2-1,"")</x:f>
        <x:v>3</x:v>
      </x:c>
      <x:c r="W2" s="40" t="n">
        <x:f>IF(F2="Included",5-M2,"")</x:f>
        <x:v>4</x:v>
      </x:c>
      <x:c r="X2" s="40" t="n">
        <x:f>IF(F2="Included",N2-1,"")</x:f>
        <x:v>4</x:v>
      </x:c>
      <x:c r="Y2" s="40" t="n">
        <x:f>IF(F2="Included",5-O2,"")</x:f>
        <x:v>4</x:v>
      </x:c>
      <x:c r="Z2" s="40" t="n">
        <x:f>IF(F2="Included",P2-1,"")</x:f>
        <x:v>4</x:v>
      </x:c>
      <x:c r="AA2" s="40" t="n">
        <x:f>IF(F2="Included",5-Q2,"")</x:f>
        <x:v>4</x:v>
      </x:c>
      <x:c r="AB2" s="40" t="n">
        <x:f>IF(F2="Included",SUM(R2:AA2),"")</x:f>
        <x:v>37</x:v>
      </x:c>
      <x:c r="AC2" s="43" t="n">
        <x:f>IF(F2="Included",AB2*2.5,"")</x:f>
        <x:v>92.5</x:v>
      </x:c>
    </x:row>
    <x:row r="3">
      <x:c r="A3" s="50" t="str">
        <x:f>'Form Responses 1'!D3</x:f>
        <x:v>P2</x:v>
      </x:c>
      <x:c r="B3" s="51" t="str">
        <x:f>'Form Responses 1'!E3</x:f>
        <x:v>Site reliability engineer </x:v>
      </x:c>
      <x:c r="C3" s="51" t="str">
        <x:v>SRE</x:v>
      </x:c>
      <x:c r="D3" s="52" t="n">
        <x:f>'Form Responses 1'!F3</x:f>
        <x:v>5</x:v>
      </x:c>
      <x:c r="E3" s="53" t="n">
        <x:f>'Form Responses 1'!G3</x:f>
        <x:v>46257</x:v>
      </x:c>
      <x:c r="F3" s="51" t="str">
        <x:f>IF(AND(COUNT(H3:Q3)=10,'Form Responses 1'!C3="Yes, I consent"),"Included","Excluded")</x:f>
        <x:v>Included</x:v>
      </x:c>
      <x:c r="G3" s="51" t="str">
        <x:f>IF(F3="Included","","Incomplete SUS response")</x:f>
      </x:c>
      <x:c r="H3" s="41" t="n">
        <x:f>'Form Responses 1'!H3</x:f>
        <x:v>4</x:v>
      </x:c>
      <x:c r="I3" s="41" t="n">
        <x:f>'Form Responses 1'!I3</x:f>
        <x:v>3</x:v>
      </x:c>
      <x:c r="J3" s="41" t="n">
        <x:f>'Form Responses 1'!J3</x:f>
        <x:v>3</x:v>
      </x:c>
      <x:c r="K3" s="41" t="n">
        <x:f>'Form Responses 1'!K3</x:f>
        <x:v>2</x:v>
      </x:c>
      <x:c r="L3" s="41" t="n">
        <x:f>'Form Responses 1'!L3</x:f>
        <x:v>4</x:v>
      </x:c>
      <x:c r="M3" s="41" t="n">
        <x:f>'Form Responses 1'!M3</x:f>
        <x:v>1</x:v>
      </x:c>
      <x:c r="N3" s="41" t="n">
        <x:f>'Form Responses 1'!N3</x:f>
        <x:v>4</x:v>
      </x:c>
      <x:c r="O3" s="41" t="n">
        <x:f>'Form Responses 1'!O3</x:f>
        <x:v>3</x:v>
      </x:c>
      <x:c r="P3" s="41" t="n">
        <x:f>'Form Responses 1'!P3</x:f>
        <x:v>4</x:v>
      </x:c>
      <x:c r="Q3" s="41" t="n">
        <x:f>'Form Responses 1'!Q3</x:f>
        <x:v>2</x:v>
      </x:c>
      <x:c r="R3" s="41" t="n">
        <x:f>IF(F3="Included",H3-1,"")</x:f>
        <x:v>3</x:v>
      </x:c>
      <x:c r="S3" s="41" t="n">
        <x:f>IF(F3="Included",5-I3,"")</x:f>
        <x:v>2</x:v>
      </x:c>
      <x:c r="T3" s="41" t="n">
        <x:f>IF(F3="Included",J3-1,"")</x:f>
        <x:v>2</x:v>
      </x:c>
      <x:c r="U3" s="41" t="n">
        <x:f>IF(F3="Included",5-K3,"")</x:f>
        <x:v>3</x:v>
      </x:c>
      <x:c r="V3" s="41" t="n">
        <x:f>IF(F3="Included",L3-1,"")</x:f>
        <x:v>3</x:v>
      </x:c>
      <x:c r="W3" s="41" t="n">
        <x:f>IF(F3="Included",5-M3,"")</x:f>
        <x:v>4</x:v>
      </x:c>
      <x:c r="X3" s="41" t="n">
        <x:f>IF(F3="Included",N3-1,"")</x:f>
        <x:v>3</x:v>
      </x:c>
      <x:c r="Y3" s="41" t="n">
        <x:f>IF(F3="Included",5-O3,"")</x:f>
        <x:v>2</x:v>
      </x:c>
      <x:c r="Z3" s="41" t="n">
        <x:f>IF(F3="Included",P3-1,"")</x:f>
        <x:v>3</x:v>
      </x:c>
      <x:c r="AA3" s="41" t="n">
        <x:f>IF(F3="Included",5-Q3,"")</x:f>
        <x:v>3</x:v>
      </x:c>
      <x:c r="AB3" s="41" t="n">
        <x:f>IF(F3="Included",SUM(R3:AA3),"")</x:f>
        <x:v>28</x:v>
      </x:c>
      <x:c r="AC3" s="44" t="n">
        <x:f>IF(F3="Included",AB3*2.5,"")</x:f>
        <x:v>70</x:v>
      </x:c>
    </x:row>
    <x:row r="4">
      <x:c r="A4" s="50" t="str">
        <x:f>'Form Responses 1'!D4</x:f>
        <x:v>P3</x:v>
      </x:c>
      <x:c r="B4" s="51" t="str">
        <x:f>'Form Responses 1'!E4</x:f>
        <x:v>Devops engineer</x:v>
      </x:c>
      <x:c r="C4" s="51" t="str">
        <x:v>DevOps/DevSecOps</x:v>
      </x:c>
      <x:c r="D4" s="52" t="n">
        <x:f>'Form Responses 1'!F4</x:f>
        <x:v>3</x:v>
      </x:c>
      <x:c r="E4" s="53" t="n">
        <x:f>'Form Responses 1'!G4</x:f>
        <x:v>46258</x:v>
      </x:c>
      <x:c r="F4" s="51" t="str">
        <x:f>IF(AND(COUNT(H4:Q4)=10,'Form Responses 1'!C4="Yes, I consent"),"Included","Excluded")</x:f>
        <x:v>Included</x:v>
      </x:c>
      <x:c r="G4" s="51" t="str">
        <x:f>IF(F4="Included","","Incomplete SUS response")</x:f>
      </x:c>
      <x:c r="H4" s="41" t="n">
        <x:f>'Form Responses 1'!H4</x:f>
        <x:v>5</x:v>
      </x:c>
      <x:c r="I4" s="41" t="n">
        <x:f>'Form Responses 1'!I4</x:f>
        <x:v>4</x:v>
      </x:c>
      <x:c r="J4" s="41" t="n">
        <x:f>'Form Responses 1'!J4</x:f>
        <x:v>3</x:v>
      </x:c>
      <x:c r="K4" s="41" t="n">
        <x:f>'Form Responses 1'!K4</x:f>
        <x:v>3</x:v>
      </x:c>
      <x:c r="L4" s="41" t="n">
        <x:f>'Form Responses 1'!L4</x:f>
        <x:v>3</x:v>
      </x:c>
      <x:c r="M4" s="41" t="n">
        <x:f>'Form Responses 1'!M4</x:f>
        <x:v>2</x:v>
      </x:c>
      <x:c r="N4" s="41" t="n">
        <x:f>'Form Responses 1'!N4</x:f>
        <x:v>3</x:v>
      </x:c>
      <x:c r="O4" s="41" t="n">
        <x:f>'Form Responses 1'!O4</x:f>
        <x:v>2</x:v>
      </x:c>
      <x:c r="P4" s="41" t="n">
        <x:f>'Form Responses 1'!P4</x:f>
        <x:v>4</x:v>
      </x:c>
      <x:c r="Q4" s="41" t="n">
        <x:f>'Form Responses 1'!Q4</x:f>
        <x:v>2</x:v>
      </x:c>
      <x:c r="R4" s="41" t="n">
        <x:f>IF(F4="Included",H4-1,"")</x:f>
        <x:v>4</x:v>
      </x:c>
      <x:c r="S4" s="41" t="n">
        <x:f>IF(F4="Included",5-I4,"")</x:f>
        <x:v>1</x:v>
      </x:c>
      <x:c r="T4" s="41" t="n">
        <x:f>IF(F4="Included",J4-1,"")</x:f>
        <x:v>2</x:v>
      </x:c>
      <x:c r="U4" s="41" t="n">
        <x:f>IF(F4="Included",5-K4,"")</x:f>
        <x:v>2</x:v>
      </x:c>
      <x:c r="V4" s="41" t="n">
        <x:f>IF(F4="Included",L4-1,"")</x:f>
        <x:v>2</x:v>
      </x:c>
      <x:c r="W4" s="41" t="n">
        <x:f>IF(F4="Included",5-M4,"")</x:f>
        <x:v>3</x:v>
      </x:c>
      <x:c r="X4" s="41" t="n">
        <x:f>IF(F4="Included",N4-1,"")</x:f>
        <x:v>2</x:v>
      </x:c>
      <x:c r="Y4" s="41" t="n">
        <x:f>IF(F4="Included",5-O4,"")</x:f>
        <x:v>3</x:v>
      </x:c>
      <x:c r="Z4" s="41" t="n">
        <x:f>IF(F4="Included",P4-1,"")</x:f>
        <x:v>3</x:v>
      </x:c>
      <x:c r="AA4" s="41" t="n">
        <x:f>IF(F4="Included",5-Q4,"")</x:f>
        <x:v>3</x:v>
      </x:c>
      <x:c r="AB4" s="41" t="n">
        <x:f>IF(F4="Included",SUM(R4:AA4),"")</x:f>
        <x:v>25</x:v>
      </x:c>
      <x:c r="AC4" s="44" t="n">
        <x:f>IF(F4="Included",AB4*2.5,"")</x:f>
        <x:v>62.5</x:v>
      </x:c>
    </x:row>
    <x:row r="5">
      <x:c r="A5" s="50" t="str">
        <x:f>'Form Responses 1'!D5</x:f>
        <x:v>P4</x:v>
      </x:c>
      <x:c r="B5" s="51" t="str">
        <x:f>'Form Responses 1'!E5</x:f>
        <x:v>DevOps</x:v>
      </x:c>
      <x:c r="C5" s="51" t="str">
        <x:v>DevOps/DevSecOps</x:v>
      </x:c>
      <x:c r="D5" s="52" t="n">
        <x:f>'Form Responses 1'!F5</x:f>
        <x:v>1</x:v>
      </x:c>
      <x:c r="E5" s="53" t="n">
        <x:f>'Form Responses 1'!G5</x:f>
        <x:v>46260</x:v>
      </x:c>
      <x:c r="F5" s="51" t="str">
        <x:f>IF(AND(COUNT(H5:Q5)=10,'Form Responses 1'!C5="Yes, I consent"),"Included","Excluded")</x:f>
        <x:v>Included</x:v>
      </x:c>
      <x:c r="G5" s="51" t="str">
        <x:f>IF(F5="Included","","Incomplete SUS response")</x:f>
      </x:c>
      <x:c r="H5" s="41" t="n">
        <x:f>'Form Responses 1'!H5</x:f>
        <x:v>5</x:v>
      </x:c>
      <x:c r="I5" s="41" t="n">
        <x:f>'Form Responses 1'!I5</x:f>
        <x:v>1</x:v>
      </x:c>
      <x:c r="J5" s="41" t="n">
        <x:f>'Form Responses 1'!J5</x:f>
        <x:v>5</x:v>
      </x:c>
      <x:c r="K5" s="41" t="n">
        <x:f>'Form Responses 1'!K5</x:f>
        <x:v>2</x:v>
      </x:c>
      <x:c r="L5" s="41" t="n">
        <x:f>'Form Responses 1'!L5</x:f>
        <x:v>5</x:v>
      </x:c>
      <x:c r="M5" s="41" t="n">
        <x:f>'Form Responses 1'!M5</x:f>
        <x:v>1</x:v>
      </x:c>
      <x:c r="N5" s="41" t="n">
        <x:f>'Form Responses 1'!N5</x:f>
        <x:v>5</x:v>
      </x:c>
      <x:c r="O5" s="41" t="n">
        <x:f>'Form Responses 1'!O5</x:f>
        <x:v>1</x:v>
      </x:c>
      <x:c r="P5" s="41" t="n">
        <x:f>'Form Responses 1'!P5</x:f>
        <x:v>4</x:v>
      </x:c>
      <x:c r="Q5" s="41" t="n">
        <x:f>'Form Responses 1'!Q5</x:f>
        <x:v>2</x:v>
      </x:c>
      <x:c r="R5" s="41" t="n">
        <x:f>IF(F5="Included",H5-1,"")</x:f>
        <x:v>4</x:v>
      </x:c>
      <x:c r="S5" s="41" t="n">
        <x:f>IF(F5="Included",5-I5,"")</x:f>
        <x:v>4</x:v>
      </x:c>
      <x:c r="T5" s="41" t="n">
        <x:f>IF(F5="Included",J5-1,"")</x:f>
        <x:v>4</x:v>
      </x:c>
      <x:c r="U5" s="41" t="n">
        <x:f>IF(F5="Included",5-K5,"")</x:f>
        <x:v>3</x:v>
      </x:c>
      <x:c r="V5" s="41" t="n">
        <x:f>IF(F5="Included",L5-1,"")</x:f>
        <x:v>4</x:v>
      </x:c>
      <x:c r="W5" s="41" t="n">
        <x:f>IF(F5="Included",5-M5,"")</x:f>
        <x:v>4</x:v>
      </x:c>
      <x:c r="X5" s="41" t="n">
        <x:f>IF(F5="Included",N5-1,"")</x:f>
        <x:v>4</x:v>
      </x:c>
      <x:c r="Y5" s="41" t="n">
        <x:f>IF(F5="Included",5-O5,"")</x:f>
        <x:v>4</x:v>
      </x:c>
      <x:c r="Z5" s="41" t="n">
        <x:f>IF(F5="Included",P5-1,"")</x:f>
        <x:v>3</x:v>
      </x:c>
      <x:c r="AA5" s="41" t="n">
        <x:f>IF(F5="Included",5-Q5,"")</x:f>
        <x:v>3</x:v>
      </x:c>
      <x:c r="AB5" s="41" t="n">
        <x:f>IF(F5="Included",SUM(R5:AA5),"")</x:f>
        <x:v>37</x:v>
      </x:c>
      <x:c r="AC5" s="44" t="n">
        <x:f>IF(F5="Included",AB5*2.5,"")</x:f>
        <x:v>92.5</x:v>
      </x:c>
    </x:row>
    <x:row r="6">
      <x:c r="A6" s="50" t="str">
        <x:f>'Form Responses 1'!D6</x:f>
        <x:v>P5</x:v>
      </x:c>
      <x:c r="B6" s="51" t="str">
        <x:f>'Form Responses 1'!E6</x:f>
        <x:v>Devops</x:v>
      </x:c>
      <x:c r="C6" s="51" t="str">
        <x:v>DevOps/DevSecOps</x:v>
      </x:c>
      <x:c r="D6" s="52" t="n">
        <x:f>'Form Responses 1'!F6</x:f>
        <x:v>3</x:v>
      </x:c>
      <x:c r="E6" s="53" t="n">
        <x:f>'Form Responses 1'!G6</x:f>
        <x:v>46256</x:v>
      </x:c>
      <x:c r="F6" s="51" t="str">
        <x:f>IF(AND(COUNT(H6:Q6)=10,'Form Responses 1'!C6="Yes, I consent"),"Included","Excluded")</x:f>
        <x:v>Included</x:v>
      </x:c>
      <x:c r="G6" s="51" t="str">
        <x:f>IF(F6="Included","","Incomplete SUS response")</x:f>
      </x:c>
      <x:c r="H6" s="41" t="n">
        <x:f>'Form Responses 1'!H6</x:f>
        <x:v>5</x:v>
      </x:c>
      <x:c r="I6" s="41" t="n">
        <x:f>'Form Responses 1'!I6</x:f>
        <x:v>2</x:v>
      </x:c>
      <x:c r="J6" s="41" t="n">
        <x:f>'Form Responses 1'!J6</x:f>
        <x:v>4</x:v>
      </x:c>
      <x:c r="K6" s="41" t="n">
        <x:f>'Form Responses 1'!K6</x:f>
        <x:v>1</x:v>
      </x:c>
      <x:c r="L6" s="41" t="n">
        <x:f>'Form Responses 1'!L6</x:f>
        <x:v>4</x:v>
      </x:c>
      <x:c r="M6" s="41" t="n">
        <x:f>'Form Responses 1'!M6</x:f>
        <x:v>1</x:v>
      </x:c>
      <x:c r="N6" s="41" t="n">
        <x:f>'Form Responses 1'!N6</x:f>
        <x:v>5</x:v>
      </x:c>
      <x:c r="O6" s="41" t="n">
        <x:f>'Form Responses 1'!O6</x:f>
        <x:v>1</x:v>
      </x:c>
      <x:c r="P6" s="41" t="n">
        <x:f>'Form Responses 1'!P6</x:f>
        <x:v>4</x:v>
      </x:c>
      <x:c r="Q6" s="41" t="n">
        <x:f>'Form Responses 1'!Q6</x:f>
        <x:v>1</x:v>
      </x:c>
      <x:c r="R6" s="41" t="n">
        <x:f>IF(F6="Included",H6-1,"")</x:f>
        <x:v>4</x:v>
      </x:c>
      <x:c r="S6" s="41" t="n">
        <x:f>IF(F6="Included",5-I6,"")</x:f>
        <x:v>3</x:v>
      </x:c>
      <x:c r="T6" s="41" t="n">
        <x:f>IF(F6="Included",J6-1,"")</x:f>
        <x:v>3</x:v>
      </x:c>
      <x:c r="U6" s="41" t="n">
        <x:f>IF(F6="Included",5-K6,"")</x:f>
        <x:v>4</x:v>
      </x:c>
      <x:c r="V6" s="41" t="n">
        <x:f>IF(F6="Included",L6-1,"")</x:f>
        <x:v>3</x:v>
      </x:c>
      <x:c r="W6" s="41" t="n">
        <x:f>IF(F6="Included",5-M6,"")</x:f>
        <x:v>4</x:v>
      </x:c>
      <x:c r="X6" s="41" t="n">
        <x:f>IF(F6="Included",N6-1,"")</x:f>
        <x:v>4</x:v>
      </x:c>
      <x:c r="Y6" s="41" t="n">
        <x:f>IF(F6="Included",5-O6,"")</x:f>
        <x:v>4</x:v>
      </x:c>
      <x:c r="Z6" s="41" t="n">
        <x:f>IF(F6="Included",P6-1,"")</x:f>
        <x:v>3</x:v>
      </x:c>
      <x:c r="AA6" s="41" t="n">
        <x:f>IF(F6="Included",5-Q6,"")</x:f>
        <x:v>4</x:v>
      </x:c>
      <x:c r="AB6" s="41" t="n">
        <x:f>IF(F6="Included",SUM(R6:AA6),"")</x:f>
        <x:v>36</x:v>
      </x:c>
      <x:c r="AC6" s="44" t="n">
        <x:f>IF(F6="Included",AB6*2.5,"")</x:f>
        <x:v>90</x:v>
      </x:c>
    </x:row>
    <x:row r="7">
      <x:c r="A7" s="50" t="str">
        <x:f>'Form Responses 1'!D7</x:f>
        <x:v>P6</x:v>
      </x:c>
      <x:c r="B7" s="51" t="str">
        <x:f>'Form Responses 1'!E7</x:f>
        <x:v>SRE</x:v>
      </x:c>
      <x:c r="C7" s="51" t="str">
        <x:v>SRE</x:v>
      </x:c>
      <x:c r="D7" s="52" t="n">
        <x:f>'Form Responses 1'!F7</x:f>
        <x:v>4</x:v>
      </x:c>
      <x:c r="E7" s="53" t="n">
        <x:f>'Form Responses 1'!G7</x:f>
        <x:v>46260</x:v>
      </x:c>
      <x:c r="F7" s="51" t="str">
        <x:f>IF(AND(COUNT(H7:Q7)=10,'Form Responses 1'!C7="Yes, I consent"),"Included","Excluded")</x:f>
        <x:v>Included</x:v>
      </x:c>
      <x:c r="G7" s="51" t="str">
        <x:f>IF(F7="Included","","Incomplete SUS response")</x:f>
      </x:c>
      <x:c r="H7" s="41" t="n">
        <x:f>'Form Responses 1'!H7</x:f>
        <x:v>5</x:v>
      </x:c>
      <x:c r="I7" s="41" t="n">
        <x:f>'Form Responses 1'!I7</x:f>
        <x:v>1</x:v>
      </x:c>
      <x:c r="J7" s="41" t="n">
        <x:f>'Form Responses 1'!J7</x:f>
        <x:v>4</x:v>
      </x:c>
      <x:c r="K7" s="41" t="n">
        <x:f>'Form Responses 1'!K7</x:f>
        <x:v>1</x:v>
      </x:c>
      <x:c r="L7" s="41" t="n">
        <x:f>'Form Responses 1'!L7</x:f>
        <x:v>4</x:v>
      </x:c>
      <x:c r="M7" s="41" t="n">
        <x:f>'Form Responses 1'!M7</x:f>
        <x:v>1</x:v>
      </x:c>
      <x:c r="N7" s="41" t="n">
        <x:f>'Form Responses 1'!N7</x:f>
        <x:v>5</x:v>
      </x:c>
      <x:c r="O7" s="41" t="n">
        <x:f>'Form Responses 1'!O7</x:f>
        <x:v>1</x:v>
      </x:c>
      <x:c r="P7" s="41" t="n">
        <x:f>'Form Responses 1'!P7</x:f>
        <x:v>5</x:v>
      </x:c>
      <x:c r="Q7" s="41" t="n">
        <x:f>'Form Responses 1'!Q7</x:f>
        <x:v>1</x:v>
      </x:c>
      <x:c r="R7" s="41" t="n">
        <x:f>IF(F7="Included",H7-1,"")</x:f>
        <x:v>4</x:v>
      </x:c>
      <x:c r="S7" s="41" t="n">
        <x:f>IF(F7="Included",5-I7,"")</x:f>
        <x:v>4</x:v>
      </x:c>
      <x:c r="T7" s="41" t="n">
        <x:f>IF(F7="Included",J7-1,"")</x:f>
        <x:v>3</x:v>
      </x:c>
      <x:c r="U7" s="41" t="n">
        <x:f>IF(F7="Included",5-K7,"")</x:f>
        <x:v>4</x:v>
      </x:c>
      <x:c r="V7" s="41" t="n">
        <x:f>IF(F7="Included",L7-1,"")</x:f>
        <x:v>3</x:v>
      </x:c>
      <x:c r="W7" s="41" t="n">
        <x:f>IF(F7="Included",5-M7,"")</x:f>
        <x:v>4</x:v>
      </x:c>
      <x:c r="X7" s="41" t="n">
        <x:f>IF(F7="Included",N7-1,"")</x:f>
        <x:v>4</x:v>
      </x:c>
      <x:c r="Y7" s="41" t="n">
        <x:f>IF(F7="Included",5-O7,"")</x:f>
        <x:v>4</x:v>
      </x:c>
      <x:c r="Z7" s="41" t="n">
        <x:f>IF(F7="Included",P7-1,"")</x:f>
        <x:v>4</x:v>
      </x:c>
      <x:c r="AA7" s="41" t="n">
        <x:f>IF(F7="Included",5-Q7,"")</x:f>
        <x:v>4</x:v>
      </x:c>
      <x:c r="AB7" s="41" t="n">
        <x:f>IF(F7="Included",SUM(R7:AA7),"")</x:f>
        <x:v>38</x:v>
      </x:c>
      <x:c r="AC7" s="44" t="n">
        <x:f>IF(F7="Included",AB7*2.5,"")</x:f>
        <x:v>95</x:v>
      </x:c>
    </x:row>
    <x:row r="8">
      <x:c r="A8" s="50" t="str">
        <x:f>'Form Responses 1'!D8</x:f>
        <x:v>P7</x:v>
      </x:c>
      <x:c r="B8" s="51" t="str">
        <x:f>'Form Responses 1'!E8</x:f>
        <x:v>Site reliability Engineer</x:v>
      </x:c>
      <x:c r="C8" s="51" t="str">
        <x:v>SRE</x:v>
      </x:c>
      <x:c r="D8" s="52" t="n">
        <x:f>'Form Responses 1'!F8</x:f>
        <x:v>1</x:v>
      </x:c>
      <x:c r="E8" s="53" t="n">
        <x:f>'Form Responses 1'!G8</x:f>
        <x:v>46259</x:v>
      </x:c>
      <x:c r="F8" s="51" t="str">
        <x:f>IF(AND(COUNT(H8:Q8)=10,'Form Responses 1'!C8="Yes, I consent"),"Included","Excluded")</x:f>
        <x:v>Included</x:v>
      </x:c>
      <x:c r="G8" s="51" t="str">
        <x:f>IF(F8="Included","","Incomplete SUS response")</x:f>
      </x:c>
      <x:c r="H8" s="41" t="n">
        <x:f>'Form Responses 1'!H8</x:f>
        <x:v>4</x:v>
      </x:c>
      <x:c r="I8" s="41" t="n">
        <x:f>'Form Responses 1'!I8</x:f>
        <x:v>2</x:v>
      </x:c>
      <x:c r="J8" s="41" t="n">
        <x:f>'Form Responses 1'!J8</x:f>
        <x:v>4</x:v>
      </x:c>
      <x:c r="K8" s="41" t="n">
        <x:f>'Form Responses 1'!K8</x:f>
        <x:v>1</x:v>
      </x:c>
      <x:c r="L8" s="41" t="n">
        <x:f>'Form Responses 1'!L8</x:f>
        <x:v>4</x:v>
      </x:c>
      <x:c r="M8" s="41" t="n">
        <x:f>'Form Responses 1'!M8</x:f>
        <x:v>2</x:v>
      </x:c>
      <x:c r="N8" s="41" t="n">
        <x:f>'Form Responses 1'!N8</x:f>
        <x:v>4</x:v>
      </x:c>
      <x:c r="O8" s="41" t="n">
        <x:f>'Form Responses 1'!O8</x:f>
        <x:v>2</x:v>
      </x:c>
      <x:c r="P8" s="41" t="n">
        <x:f>'Form Responses 1'!P8</x:f>
        <x:v>4</x:v>
      </x:c>
      <x:c r="Q8" s="41" t="n">
        <x:f>'Form Responses 1'!Q8</x:f>
        <x:v>2</x:v>
      </x:c>
      <x:c r="R8" s="41" t="n">
        <x:f>IF(F8="Included",H8-1,"")</x:f>
        <x:v>3</x:v>
      </x:c>
      <x:c r="S8" s="41" t="n">
        <x:f>IF(F8="Included",5-I8,"")</x:f>
        <x:v>3</x:v>
      </x:c>
      <x:c r="T8" s="41" t="n">
        <x:f>IF(F8="Included",J8-1,"")</x:f>
        <x:v>3</x:v>
      </x:c>
      <x:c r="U8" s="41" t="n">
        <x:f>IF(F8="Included",5-K8,"")</x:f>
        <x:v>4</x:v>
      </x:c>
      <x:c r="V8" s="41" t="n">
        <x:f>IF(F8="Included",L8-1,"")</x:f>
        <x:v>3</x:v>
      </x:c>
      <x:c r="W8" s="41" t="n">
        <x:f>IF(F8="Included",5-M8,"")</x:f>
        <x:v>3</x:v>
      </x:c>
      <x:c r="X8" s="41" t="n">
        <x:f>IF(F8="Included",N8-1,"")</x:f>
        <x:v>3</x:v>
      </x:c>
      <x:c r="Y8" s="41" t="n">
        <x:f>IF(F8="Included",5-O8,"")</x:f>
        <x:v>3</x:v>
      </x:c>
      <x:c r="Z8" s="41" t="n">
        <x:f>IF(F8="Included",P8-1,"")</x:f>
        <x:v>3</x:v>
      </x:c>
      <x:c r="AA8" s="41" t="n">
        <x:f>IF(F8="Included",5-Q8,"")</x:f>
        <x:v>3</x:v>
      </x:c>
      <x:c r="AB8" s="41" t="n">
        <x:f>IF(F8="Included",SUM(R8:AA8),"")</x:f>
        <x:v>31</x:v>
      </x:c>
      <x:c r="AC8" s="44" t="n">
        <x:f>IF(F8="Included",AB8*2.5,"")</x:f>
        <x:v>77.5</x:v>
      </x:c>
    </x:row>
    <x:row r="9">
      <x:c r="A9" s="50" t="str">
        <x:f>'Form Responses 1'!D9</x:f>
        <x:v>P8</x:v>
      </x:c>
      <x:c r="B9" s="51" t="str">
        <x:f>'Form Responses 1'!E9</x:f>
        <x:v>Devsecops Engineer</x:v>
      </x:c>
      <x:c r="C9" s="51" t="str">
        <x:v>DevOps/DevSecOps</x:v>
      </x:c>
      <x:c r="D9" s="52" t="n">
        <x:f>'Form Responses 1'!F9</x:f>
        <x:v>3</x:v>
      </x:c>
      <x:c r="E9" s="53" t="n">
        <x:f>'Form Responses 1'!G9</x:f>
        <x:v>46257</x:v>
      </x:c>
      <x:c r="F9" s="51" t="str">
        <x:f>IF(AND(COUNT(H9:Q9)=10,'Form Responses 1'!C9="Yes, I consent"),"Included","Excluded")</x:f>
        <x:v>Included</x:v>
      </x:c>
      <x:c r="G9" s="51" t="str">
        <x:f>IF(F9="Included","","Incomplete SUS response")</x:f>
      </x:c>
      <x:c r="H9" s="41" t="n">
        <x:f>'Form Responses 1'!H9</x:f>
        <x:v>5</x:v>
      </x:c>
      <x:c r="I9" s="41" t="n">
        <x:f>'Form Responses 1'!I9</x:f>
        <x:v>1</x:v>
      </x:c>
      <x:c r="J9" s="41" t="n">
        <x:f>'Form Responses 1'!J9</x:f>
        <x:v>5</x:v>
      </x:c>
      <x:c r="K9" s="41" t="n">
        <x:f>'Form Responses 1'!K9</x:f>
        <x:v>1</x:v>
      </x:c>
      <x:c r="L9" s="41" t="n">
        <x:f>'Form Responses 1'!L9</x:f>
        <x:v>4</x:v>
      </x:c>
      <x:c r="M9" s="41" t="n">
        <x:f>'Form Responses 1'!M9</x:f>
        <x:v>1</x:v>
      </x:c>
      <x:c r="N9" s="41" t="n">
        <x:f>'Form Responses 1'!N9</x:f>
        <x:v>5</x:v>
      </x:c>
      <x:c r="O9" s="41" t="n">
        <x:f>'Form Responses 1'!O9</x:f>
        <x:v>1</x:v>
      </x:c>
      <x:c r="P9" s="41" t="n">
        <x:f>'Form Responses 1'!P9</x:f>
        <x:v>5</x:v>
      </x:c>
      <x:c r="Q9" s="41" t="n">
        <x:f>'Form Responses 1'!Q9</x:f>
        <x:v>1</x:v>
      </x:c>
      <x:c r="R9" s="41" t="n">
        <x:f>IF(F9="Included",H9-1,"")</x:f>
        <x:v>4</x:v>
      </x:c>
      <x:c r="S9" s="41" t="n">
        <x:f>IF(F9="Included",5-I9,"")</x:f>
        <x:v>4</x:v>
      </x:c>
      <x:c r="T9" s="41" t="n">
        <x:f>IF(F9="Included",J9-1,"")</x:f>
        <x:v>4</x:v>
      </x:c>
      <x:c r="U9" s="41" t="n">
        <x:f>IF(F9="Included",5-K9,"")</x:f>
        <x:v>4</x:v>
      </x:c>
      <x:c r="V9" s="41" t="n">
        <x:f>IF(F9="Included",L9-1,"")</x:f>
        <x:v>3</x:v>
      </x:c>
      <x:c r="W9" s="41" t="n">
        <x:f>IF(F9="Included",5-M9,"")</x:f>
        <x:v>4</x:v>
      </x:c>
      <x:c r="X9" s="41" t="n">
        <x:f>IF(F9="Included",N9-1,"")</x:f>
        <x:v>4</x:v>
      </x:c>
      <x:c r="Y9" s="41" t="n">
        <x:f>IF(F9="Included",5-O9,"")</x:f>
        <x:v>4</x:v>
      </x:c>
      <x:c r="Z9" s="41" t="n">
        <x:f>IF(F9="Included",P9-1,"")</x:f>
        <x:v>4</x:v>
      </x:c>
      <x:c r="AA9" s="41" t="n">
        <x:f>IF(F9="Included",5-Q9,"")</x:f>
        <x:v>4</x:v>
      </x:c>
      <x:c r="AB9" s="41" t="n">
        <x:f>IF(F9="Included",SUM(R9:AA9),"")</x:f>
        <x:v>39</x:v>
      </x:c>
      <x:c r="AC9" s="44" t="n">
        <x:f>IF(F9="Included",AB9*2.5,"")</x:f>
        <x:v>97.5</x:v>
      </x:c>
    </x:row>
    <x:row r="10">
      <x:c r="A10" s="50" t="str">
        <x:f>'Form Responses 1'!D10</x:f>
        <x:v>P9</x:v>
      </x:c>
      <x:c r="B10" s="51" t="str">
        <x:f>'Form Responses 1'!E10</x:f>
        <x:v>Sre</x:v>
      </x:c>
      <x:c r="C10" s="51" t="str">
        <x:v>SRE</x:v>
      </x:c>
      <x:c r="D10" s="52" t="n">
        <x:f>'Form Responses 1'!F10</x:f>
        <x:v>6</x:v>
      </x:c>
      <x:c r="E10" s="53" t="n">
        <x:f>'Form Responses 1'!G10</x:f>
        <x:v>46260</x:v>
      </x:c>
      <x:c r="F10" s="51" t="str">
        <x:f>IF(AND(COUNT(H10:Q10)=10,'Form Responses 1'!C10="Yes, I consent"),"Included","Excluded")</x:f>
        <x:v>Excluded</x:v>
      </x:c>
      <x:c r="G10" s="51" t="str">
        <x:f>IF(F10="Included","","Incomplete SUS response")</x:f>
        <x:v>Incomplete SUS response</x:v>
      </x:c>
      <x:c r="H10" s="41" t="n">
        <x:f>'Form Responses 1'!H10</x:f>
        <x:v>5</x:v>
      </x:c>
      <x:c r="I10" s="41" t="n">
        <x:f>'Form Responses 1'!I10</x:f>
        <x:v>1</x:v>
      </x:c>
      <x:c r="J10" s="41" t="n">
        <x:f>'Form Responses 1'!J10</x:f>
        <x:v>0</x:v>
      </x:c>
      <x:c r="K10" s="41" t="n">
        <x:f>'Form Responses 1'!K10</x:f>
        <x:v>1</x:v>
      </x:c>
      <x:c r="L10" s="41" t="n">
        <x:f>'Form Responses 1'!L10</x:f>
        <x:v>4</x:v>
      </x:c>
      <x:c r="M10" s="41" t="n">
        <x:f>'Form Responses 1'!M10</x:f>
        <x:v>2</x:v>
      </x:c>
      <x:c r="N10" s="41" t="n">
        <x:f>'Form Responses 1'!N10</x:f>
        <x:v>5</x:v>
      </x:c>
      <x:c r="O10" s="41" t="n">
        <x:f>'Form Responses 1'!O10</x:f>
        <x:v>2</x:v>
      </x:c>
      <x:c r="P10" s="41" t="n">
        <x:f>'Form Responses 1'!P10</x:f>
        <x:v>4</x:v>
      </x:c>
      <x:c r="Q10" s="41" t="n">
        <x:f>'Form Responses 1'!Q10</x:f>
        <x:v>1</x:v>
      </x:c>
      <x:c r="R10" s="41" t="str">
        <x:f>IF(F10="Included",H10-1,"")</x:f>
      </x:c>
      <x:c r="S10" s="41" t="str">
        <x:f>IF(F10="Included",5-I10,"")</x:f>
      </x:c>
      <x:c r="T10" s="41" t="str">
        <x:f>IF(F10="Included",J10-1,"")</x:f>
      </x:c>
      <x:c r="U10" s="41" t="str">
        <x:f>IF(F10="Included",5-K10,"")</x:f>
      </x:c>
      <x:c r="V10" s="41" t="str">
        <x:f>IF(F10="Included",L10-1,"")</x:f>
      </x:c>
      <x:c r="W10" s="41" t="str">
        <x:f>IF(F10="Included",5-M10,"")</x:f>
      </x:c>
      <x:c r="X10" s="41" t="str">
        <x:f>IF(F10="Included",N10-1,"")</x:f>
      </x:c>
      <x:c r="Y10" s="41" t="str">
        <x:f>IF(F10="Included",5-O10,"")</x:f>
      </x:c>
      <x:c r="Z10" s="41" t="str">
        <x:f>IF(F10="Included",P10-1,"")</x:f>
      </x:c>
      <x:c r="AA10" s="41" t="str">
        <x:f>IF(F10="Included",5-Q10,"")</x:f>
      </x:c>
      <x:c r="AB10" s="41" t="str">
        <x:f>IF(F10="Included",SUM(R10:AA10),"")</x:f>
      </x:c>
      <x:c r="AC10" s="44" t="str">
        <x:f>IF(F10="Included",AB10*2.5,"")</x:f>
      </x:c>
    </x:row>
    <x:row r="11">
      <x:c r="A11" s="50" t="str">
        <x:f>'Form Responses 1'!D11</x:f>
        <x:v>P10</x:v>
      </x:c>
      <x:c r="B11" s="51" t="str">
        <x:f>'Form Responses 1'!E11</x:f>
        <x:v>SRE</x:v>
      </x:c>
      <x:c r="C11" s="51" t="str">
        <x:v>SRE</x:v>
      </x:c>
      <x:c r="D11" s="52" t="n">
        <x:f>'Form Responses 1'!F11</x:f>
        <x:v>4</x:v>
      </x:c>
      <x:c r="E11" s="53" t="n">
        <x:f>'Form Responses 1'!G11</x:f>
        <x:v>46259</x:v>
      </x:c>
      <x:c r="F11" s="51" t="str">
        <x:f>IF(AND(COUNT(H11:Q11)=10,'Form Responses 1'!C11="Yes, I consent"),"Included","Excluded")</x:f>
        <x:v>Included</x:v>
      </x:c>
      <x:c r="G11" s="51" t="str">
        <x:f>IF(F11="Included","","Incomplete SUS response")</x:f>
      </x:c>
      <x:c r="H11" s="41" t="n">
        <x:f>'Form Responses 1'!H11</x:f>
        <x:v>5</x:v>
      </x:c>
      <x:c r="I11" s="41" t="n">
        <x:f>'Form Responses 1'!I11</x:f>
        <x:v>2</x:v>
      </x:c>
      <x:c r="J11" s="41" t="n">
        <x:f>'Form Responses 1'!J11</x:f>
        <x:v>4</x:v>
      </x:c>
      <x:c r="K11" s="41" t="n">
        <x:f>'Form Responses 1'!K11</x:f>
        <x:v>1</x:v>
      </x:c>
      <x:c r="L11" s="41" t="n">
        <x:f>'Form Responses 1'!L11</x:f>
        <x:v>3</x:v>
      </x:c>
      <x:c r="M11" s="41" t="n">
        <x:f>'Form Responses 1'!M11</x:f>
        <x:v>2</x:v>
      </x:c>
      <x:c r="N11" s="41" t="n">
        <x:f>'Form Responses 1'!N11</x:f>
        <x:v>3</x:v>
      </x:c>
      <x:c r="O11" s="41" t="n">
        <x:f>'Form Responses 1'!O11</x:f>
        <x:v>3</x:v>
      </x:c>
      <x:c r="P11" s="41" t="n">
        <x:f>'Form Responses 1'!P11</x:f>
        <x:v>4</x:v>
      </x:c>
      <x:c r="Q11" s="41" t="n">
        <x:f>'Form Responses 1'!Q11</x:f>
        <x:v>1</x:v>
      </x:c>
      <x:c r="R11" s="41" t="n">
        <x:f>IF(F11="Included",H11-1,"")</x:f>
        <x:v>4</x:v>
      </x:c>
      <x:c r="S11" s="41" t="n">
        <x:f>IF(F11="Included",5-I11,"")</x:f>
        <x:v>3</x:v>
      </x:c>
      <x:c r="T11" s="41" t="n">
        <x:f>IF(F11="Included",J11-1,"")</x:f>
        <x:v>3</x:v>
      </x:c>
      <x:c r="U11" s="41" t="n">
        <x:f>IF(F11="Included",5-K11,"")</x:f>
        <x:v>4</x:v>
      </x:c>
      <x:c r="V11" s="41" t="n">
        <x:f>IF(F11="Included",L11-1,"")</x:f>
        <x:v>2</x:v>
      </x:c>
      <x:c r="W11" s="41" t="n">
        <x:f>IF(F11="Included",5-M11,"")</x:f>
        <x:v>3</x:v>
      </x:c>
      <x:c r="X11" s="41" t="n">
        <x:f>IF(F11="Included",N11-1,"")</x:f>
        <x:v>2</x:v>
      </x:c>
      <x:c r="Y11" s="41" t="n">
        <x:f>IF(F11="Included",5-O11,"")</x:f>
        <x:v>2</x:v>
      </x:c>
      <x:c r="Z11" s="41" t="n">
        <x:f>IF(F11="Included",P11-1,"")</x:f>
        <x:v>3</x:v>
      </x:c>
      <x:c r="AA11" s="41" t="n">
        <x:f>IF(F11="Included",5-Q11,"")</x:f>
        <x:v>4</x:v>
      </x:c>
      <x:c r="AB11" s="41" t="n">
        <x:f>IF(F11="Included",SUM(R11:AA11),"")</x:f>
        <x:v>30</x:v>
      </x:c>
      <x:c r="AC11" s="44" t="n">
        <x:f>IF(F11="Included",AB11*2.5,"")</x:f>
        <x:v>75</x:v>
      </x:c>
    </x:row>
    <x:row r="12">
      <x:c r="A12" s="54" t="str">
        <x:f>'Form Responses 1'!D12</x:f>
        <x:v>P11</x:v>
      </x:c>
      <x:c r="B12" s="55" t="str">
        <x:f>'Form Responses 1'!E12</x:f>
        <x:v>sre</x:v>
      </x:c>
      <x:c r="C12" s="55" t="str">
        <x:v>SRE</x:v>
      </x:c>
      <x:c r="D12" s="56" t="n">
        <x:f>'Form Responses 1'!F12</x:f>
        <x:v>2</x:v>
      </x:c>
      <x:c r="E12" s="57" t="n">
        <x:f>'Form Responses 1'!G12</x:f>
        <x:v>46260</x:v>
      </x:c>
      <x:c r="F12" s="55" t="str">
        <x:f>IF(AND(COUNT(H12:Q12)=10,'Form Responses 1'!C12="Yes, I consent"),"Included","Excluded")</x:f>
        <x:v>Included</x:v>
      </x:c>
      <x:c r="G12" s="55" t="str">
        <x:f>IF(F12="Included","","Incomplete SUS response")</x:f>
      </x:c>
      <x:c r="H12" s="42" t="n">
        <x:f>'Form Responses 1'!H12</x:f>
        <x:v>3</x:v>
      </x:c>
      <x:c r="I12" s="42" t="n">
        <x:f>'Form Responses 1'!I12</x:f>
        <x:v>4</x:v>
      </x:c>
      <x:c r="J12" s="42" t="n">
        <x:f>'Form Responses 1'!J12</x:f>
        <x:v>3</x:v>
      </x:c>
      <x:c r="K12" s="42" t="n">
        <x:f>'Form Responses 1'!K12</x:f>
        <x:v>3</x:v>
      </x:c>
      <x:c r="L12" s="42" t="n">
        <x:f>'Form Responses 1'!L12</x:f>
        <x:v>3</x:v>
      </x:c>
      <x:c r="M12" s="42" t="n">
        <x:f>'Form Responses 1'!M12</x:f>
        <x:v>4</x:v>
      </x:c>
      <x:c r="N12" s="42" t="n">
        <x:f>'Form Responses 1'!N12</x:f>
        <x:v>3</x:v>
      </x:c>
      <x:c r="O12" s="42" t="n">
        <x:f>'Form Responses 1'!O12</x:f>
        <x:v>4</x:v>
      </x:c>
      <x:c r="P12" s="42" t="n">
        <x:f>'Form Responses 1'!P12</x:f>
        <x:v>3</x:v>
      </x:c>
      <x:c r="Q12" s="42" t="n">
        <x:f>'Form Responses 1'!Q12</x:f>
        <x:v>4</x:v>
      </x:c>
      <x:c r="R12" s="42" t="n">
        <x:f>IF(F12="Included",H12-1,"")</x:f>
        <x:v>2</x:v>
      </x:c>
      <x:c r="S12" s="42" t="n">
        <x:f>IF(F12="Included",5-I12,"")</x:f>
        <x:v>1</x:v>
      </x:c>
      <x:c r="T12" s="42" t="n">
        <x:f>IF(F12="Included",J12-1,"")</x:f>
        <x:v>2</x:v>
      </x:c>
      <x:c r="U12" s="42" t="n">
        <x:f>IF(F12="Included",5-K12,"")</x:f>
        <x:v>2</x:v>
      </x:c>
      <x:c r="V12" s="42" t="n">
        <x:f>IF(F12="Included",L12-1,"")</x:f>
        <x:v>2</x:v>
      </x:c>
      <x:c r="W12" s="42" t="n">
        <x:f>IF(F12="Included",5-M12,"")</x:f>
        <x:v>1</x:v>
      </x:c>
      <x:c r="X12" s="42" t="n">
        <x:f>IF(F12="Included",N12-1,"")</x:f>
        <x:v>2</x:v>
      </x:c>
      <x:c r="Y12" s="42" t="n">
        <x:f>IF(F12="Included",5-O12,"")</x:f>
        <x:v>1</x:v>
      </x:c>
      <x:c r="Z12" s="42" t="n">
        <x:f>IF(F12="Included",P12-1,"")</x:f>
        <x:v>2</x:v>
      </x:c>
      <x:c r="AA12" s="42" t="n">
        <x:f>IF(F12="Included",5-Q12,"")</x:f>
        <x:v>1</x:v>
      </x:c>
      <x:c r="AB12" s="42" t="n">
        <x:f>IF(F12="Included",SUM(R12:AA12),"")</x:f>
        <x:v>16</x:v>
      </x:c>
      <x:c r="AC12" s="45" t="n">
        <x:f>IF(F12="Included",AB12*2.5,"")</x:f>
        <x:v>40</x:v>
      </x:c>
    </x:row>
  </x:sheetData>
  <x:conditionalFormatting sqref="A1:AC12">
    <x:cfRule type="expression" dxfId="5" priority="1">
      <x:formula>$F1="Excluded"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0f2e25f00ec4bd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7" hidden="0" customWidth="1"/>
    <x:col min="3" max="3" width="36" hidden="0" customWidth="1"/>
    <x:col min="4" max="4" width="14" hidden="0" customWidth="1"/>
    <x:col min="5" max="5" width="3" hidden="0" customWidth="1"/>
    <x:col min="6" max="6" width="21" hidden="0" customWidth="1"/>
    <x:col min="7" max="7" width="18" hidden="0" customWidth="1"/>
    <x:col min="8" max="8" width="18" hidden="0" customWidth="1"/>
  </x:cols>
  <x:sheetData>
    <x:row r="1" ht="28" customHeight="1">
      <x:c r="A1" s="12" t="str">
        <x:v>InfraGuard AI SUS Results: 10 Complete Human Responses</x:v>
      </x:c>
      <x:c r="B1" s="12"/>
      <x:c r="C1" s="12"/>
      <x:c r="D1" s="12"/>
      <x:c r="E1" s="12"/>
      <x:c r="F1" s="12"/>
      <x:c r="G1" s="12"/>
      <x:c r="H1" s="12"/>
    </x:row>
    <x:row r="3" ht="15" hidden="0" customHeight="1">
      <x:c r="A3" s="69" t="str">
        <x:v>Metric</x:v>
      </x:c>
      <x:c r="B3" s="69" t="str">
        <x:v>Result</x:v>
      </x:c>
      <x:c r="C3" s="69" t="str">
        <x:v>Interpretation boundary</x:v>
      </x:c>
      <x:c r="D3" s="85"/>
      <x:c r="E3" s="85"/>
      <x:c r="F3" s="69" t="str">
        <x:v>Role group</x:v>
      </x:c>
      <x:c r="G3" s="69" t="str">
        <x:v>Included</x:v>
      </x:c>
      <x:c r="H3" s="69" t="str">
        <x:v>Mean SUS</x:v>
      </x:c>
    </x:row>
    <x:row r="4" ht="15" hidden="0" customHeight="1">
      <x:c r="A4" s="86" t="str">
        <x:v>Practitioners recruited</x:v>
      </x:c>
      <x:c r="B4" s="87" t="n">
        <x:f>COUNTA('Scoring'!A2:A12)</x:f>
        <x:v>11</x:v>
      </x:c>
      <x:c r="C4" s="88" t="str">
        <x:v>Distinct consented human submissions</x:v>
      </x:c>
      <x:c r="D4" s="85"/>
      <x:c r="E4" s="85"/>
      <x:c r="F4" s="86" t="str">
        <x:v>DevOps/DevSecOps</x:v>
      </x:c>
      <x:c r="G4" s="87" t="n">
        <x:f>COUNTIFS('Scoring'!C2:C12,F4,'Scoring'!F2:F12,"Included")</x:f>
        <x:v>5</x:v>
      </x:c>
      <x:c r="H4" s="89" t="n">
        <x:f>SUMIFS('Scoring'!AC2:AC12,'Scoring'!C2:C12,F4,'Scoring'!F2:F12,"Included")/G4</x:f>
        <x:v>87</x:v>
      </x:c>
    </x:row>
    <x:row r="5" ht="15" hidden="0" customHeight="1">
      <x:c r="A5" s="86" t="str">
        <x:v>Consented submissions</x:v>
      </x:c>
      <x:c r="B5" s="87" t="n">
        <x:f>COUNTIF('Form Responses 1'!C2:C12,"Yes, I consent")</x:f>
        <x:v>11</x:v>
      </x:c>
      <x:c r="C5" s="88" t="str">
        <x:v>Consent retained in the source export</x:v>
      </x:c>
      <x:c r="D5" s="85"/>
      <x:c r="E5" s="85"/>
      <x:c r="F5" s="86" t="str">
        <x:v>SRE</x:v>
      </x:c>
      <x:c r="G5" s="87" t="n">
        <x:f>COUNTIFS('Scoring'!C2:C12,F5,'Scoring'!F2:F12,"Included")</x:f>
        <x:v>5</x:v>
      </x:c>
      <x:c r="H5" s="89" t="n">
        <x:f>SUMIFS('Scoring'!AC2:AC12,'Scoring'!C2:C12,F5,'Scoring'!F2:F12,"Included")/G5</x:f>
        <x:v>71.5</x:v>
      </x:c>
    </x:row>
    <x:row r="6" ht="15" hidden="0" customHeight="1">
      <x:c r="A6" s="86" t="str">
        <x:v>Complete responses analysed</x:v>
      </x:c>
      <x:c r="B6" s="90" t="n">
        <x:f>COUNTIF('Scoring'!F2:F12,"Included")</x:f>
        <x:v>10</x:v>
      </x:c>
      <x:c r="C6" s="88" t="str">
        <x:v>All ten SUS items present</x:v>
      </x:c>
      <x:c r="D6" s="85"/>
      <x:c r="E6" s="85"/>
      <x:c r="F6" s="85"/>
      <x:c r="G6" s="85"/>
      <x:c r="H6" s="85"/>
    </x:row>
    <x:row r="7" ht="15" hidden="0" customHeight="1">
      <x:c r="A7" s="86" t="str">
        <x:v>Incomplete responses excluded</x:v>
      </x:c>
      <x:c r="B7" s="91" t="n">
        <x:f>COUNTIF('Scoring'!F2:F12,"Excluded")</x:f>
        <x:v>1</x:v>
      </x:c>
      <x:c r="C7" s="88" t="str">
        <x:v>P9; Question 3 blank; no imputation</x:v>
      </x:c>
      <x:c r="D7" s="85"/>
      <x:c r="E7" s="85"/>
      <x:c r="F7" s="85"/>
      <x:c r="G7" s="85"/>
      <x:c r="H7" s="85"/>
    </x:row>
    <x:row r="8" ht="15" hidden="0" customHeight="1">
      <x:c r="A8" s="86" t="str">
        <x:v>Completion rate</x:v>
      </x:c>
      <x:c r="B8" s="92" t="n">
        <x:f>B6/B4</x:f>
        <x:v>0.9090909090909091</x:v>
      </x:c>
      <x:c r="C8" s="88" t="str">
        <x:v>Complete divided by recruited</x:v>
      </x:c>
      <x:c r="D8" s="85"/>
      <x:c r="E8" s="85"/>
      <x:c r="F8" s="69" t="str">
        <x:v>SUS item</x:v>
      </x:c>
      <x:c r="G8" s="69" t="str">
        <x:v>Mean raw response</x:v>
      </x:c>
      <x:c r="H8" s="69" t="str">
        <x:v>Polarity</x:v>
      </x:c>
    </x:row>
    <x:row r="9" ht="15" hidden="0" customHeight="1">
      <x:c r="A9" s="86" t="str">
        <x:v>Mean SUS score</x:v>
      </x:c>
      <x:c r="B9" s="93" t="n">
        <x:f>AVERAGE('Scoring'!AC2:AC12)</x:f>
        <x:v>79.25</x:v>
      </x:c>
      <x:c r="C9" s="88" t="str">
        <x:v>Descriptive small-sample result</x:v>
      </x:c>
      <x:c r="D9" s="85"/>
      <x:c r="E9" s="85"/>
      <x:c r="F9" s="86" t="str">
        <x:v>Q1</x:v>
      </x:c>
      <x:c r="G9" s="89" t="n">
        <x:f>SUMIFS('Scoring'!H2:H12,'Scoring'!F2:F12,"Included")/$B$6</x:f>
        <x:v>4.6</x:v>
      </x:c>
      <x:c r="H9" s="88" t="str">
        <x:v>Positive</x:v>
      </x:c>
    </x:row>
    <x:row r="10" ht="15" hidden="0" customHeight="1">
      <x:c r="A10" s="86" t="str">
        <x:v>Median SUS score</x:v>
      </x:c>
      <x:c r="B10" s="93" t="n">
        <x:f>MEDIAN('Scoring'!AC2:AC12)</x:f>
        <x:v>83.75</x:v>
      </x:c>
      <x:c r="C10" s="88" t="str">
        <x:v>Descriptive small-sample result</x:v>
      </x:c>
      <x:c r="D10" s="85"/>
      <x:c r="E10" s="85"/>
      <x:c r="F10" s="86" t="str">
        <x:v>Q2</x:v>
      </x:c>
      <x:c r="G10" s="89" t="n">
        <x:f>SUMIFS('Scoring'!I2:I12,'Scoring'!F2:F12,"Included")/$B$6</x:f>
        <x:v>2.2</x:v>
      </x:c>
      <x:c r="H10" s="88" t="str">
        <x:v>Negative</x:v>
      </x:c>
    </x:row>
    <x:row r="11" ht="15" hidden="0" customHeight="1">
      <x:c r="A11" s="86" t="str">
        <x:v>Sample standard deviation</x:v>
      </x:c>
      <x:c r="B11" s="93" t="n">
        <x:f>STDEV.S('Scoring'!AC2:AC12)</x:f>
        <x:v>18.18309654596818</x:v>
      </x:c>
      <x:c r="C11" s="88" t="str">
        <x:v>Variation across ten complete responses</x:v>
      </x:c>
      <x:c r="D11" s="85"/>
      <x:c r="E11" s="85"/>
      <x:c r="F11" s="86" t="str">
        <x:v>Q3</x:v>
      </x:c>
      <x:c r="G11" s="89" t="n">
        <x:f>SUMIFS('Scoring'!J2:J12,'Scoring'!F2:F12,"Included")/$B$6</x:f>
        <x:v>3.9</x:v>
      </x:c>
      <x:c r="H11" s="88" t="str">
        <x:v>Positive</x:v>
      </x:c>
    </x:row>
    <x:row r="12" ht="15" hidden="0" customHeight="1">
      <x:c r="A12" s="86" t="str">
        <x:v>Minimum SUS score</x:v>
      </x:c>
      <x:c r="B12" s="93" t="n">
        <x:f>MIN('Scoring'!AC2:AC12)</x:f>
        <x:v>40</x:v>
      </x:c>
      <x:c r="C12" s="88" t="str">
        <x:v>Lowest included participant score</x:v>
      </x:c>
      <x:c r="D12" s="85"/>
      <x:c r="E12" s="85"/>
      <x:c r="F12" s="86" t="str">
        <x:v>Q4</x:v>
      </x:c>
      <x:c r="G12" s="89" t="n">
        <x:f>SUMIFS('Scoring'!K2:K12,'Scoring'!F2:F12,"Included")/$B$6</x:f>
        <x:v>1.6</x:v>
      </x:c>
      <x:c r="H12" s="88" t="str">
        <x:v>Negative</x:v>
      </x:c>
    </x:row>
    <x:row r="13" ht="15" hidden="0" customHeight="1">
      <x:c r="A13" s="86" t="str">
        <x:v>Maximum SUS score</x:v>
      </x:c>
      <x:c r="B13" s="93" t="n">
        <x:f>MAX('Scoring'!AC2:AC12)</x:f>
        <x:v>97.5</x:v>
      </x:c>
      <x:c r="C13" s="88" t="str">
        <x:v>Highest included participant score</x:v>
      </x:c>
      <x:c r="D13" s="85"/>
      <x:c r="E13" s="85"/>
      <x:c r="F13" s="86" t="str">
        <x:v>Q5</x:v>
      </x:c>
      <x:c r="G13" s="89" t="n">
        <x:f>SUMIFS('Scoring'!L2:L12,'Scoring'!F2:F12,"Included")/$B$6</x:f>
        <x:v>3.8</x:v>
      </x:c>
      <x:c r="H13" s="88" t="str">
        <x:v>Positive</x:v>
      </x:c>
    </x:row>
    <x:row r="14" ht="15" hidden="0" customHeight="1">
      <x:c r="A14" s="85"/>
      <x:c r="B14" s="85"/>
      <x:c r="C14" s="85"/>
      <x:c r="D14" s="85"/>
      <x:c r="E14" s="85"/>
      <x:c r="F14" s="86" t="str">
        <x:v>Q6</x:v>
      </x:c>
      <x:c r="G14" s="89" t="n">
        <x:f>SUMIFS('Scoring'!M2:M12,'Scoring'!F2:F12,"Included")/$B$6</x:f>
        <x:v>1.6</x:v>
      </x:c>
      <x:c r="H14" s="88" t="str">
        <x:v>Negative</x:v>
      </x:c>
    </x:row>
    <x:row r="15" ht="15" hidden="0" customHeight="1">
      <x:c r="A15" s="85"/>
      <x:c r="B15" s="85"/>
      <x:c r="C15" s="85"/>
      <x:c r="D15" s="85"/>
      <x:c r="E15" s="85"/>
      <x:c r="F15" s="86" t="str">
        <x:v>Q7</x:v>
      </x:c>
      <x:c r="G15" s="89" t="n">
        <x:f>SUMIFS('Scoring'!N2:N12,'Scoring'!F2:F12,"Included")/$B$6</x:f>
        <x:v>4.2</x:v>
      </x:c>
      <x:c r="H15" s="88" t="str">
        <x:v>Positive</x:v>
      </x:c>
    </x:row>
    <x:row r="16" ht="15" hidden="0" customHeight="1">
      <x:c r="A16" s="69" t="str">
        <x:v>Participant</x:v>
      </x:c>
      <x:c r="B16" s="69" t="str">
        <x:v>Role group</x:v>
      </x:c>
      <x:c r="C16" s="69" t="str">
        <x:v>Years experience</x:v>
      </x:c>
      <x:c r="D16" s="69" t="str">
        <x:v>SUS score</x:v>
      </x:c>
      <x:c r="E16" s="85"/>
      <x:c r="F16" s="86" t="str">
        <x:v>Q8</x:v>
      </x:c>
      <x:c r="G16" s="89" t="n">
        <x:f>SUMIFS('Scoring'!O2:O12,'Scoring'!F2:F12,"Included")/$B$6</x:f>
        <x:v>1.9</x:v>
      </x:c>
      <x:c r="H16" s="88" t="str">
        <x:v>Negative</x:v>
      </x:c>
    </x:row>
    <x:row r="17" ht="15" hidden="0" customHeight="1">
      <x:c r="A17" s="86" t="str">
        <x:f>'Scoring'!A2</x:f>
        <x:v>P1</x:v>
      </x:c>
      <x:c r="B17" s="88" t="str">
        <x:f>'Scoring'!C2</x:f>
        <x:v>DevOps/DevSecOps</x:v>
      </x:c>
      <x:c r="C17" s="87" t="n">
        <x:f>'Scoring'!D2</x:f>
        <x:v>2</x:v>
      </x:c>
      <x:c r="D17" s="94" t="n">
        <x:f>'Scoring'!AC2</x:f>
        <x:v>92.5</x:v>
      </x:c>
      <x:c r="E17" s="85"/>
      <x:c r="F17" s="86" t="str">
        <x:v>Q9</x:v>
      </x:c>
      <x:c r="G17" s="89" t="n">
        <x:f>SUMIFS('Scoring'!P2:P12,'Scoring'!F2:F12,"Included")/$B$6</x:f>
        <x:v>4.2</x:v>
      </x:c>
      <x:c r="H17" s="88" t="str">
        <x:v>Positive</x:v>
      </x:c>
    </x:row>
    <x:row r="18" ht="15" hidden="0" customHeight="1">
      <x:c r="A18" s="86" t="str">
        <x:f>'Scoring'!A3</x:f>
        <x:v>P2</x:v>
      </x:c>
      <x:c r="B18" s="88" t="str">
        <x:f>'Scoring'!C3</x:f>
        <x:v>SRE</x:v>
      </x:c>
      <x:c r="C18" s="87" t="n">
        <x:f>'Scoring'!D3</x:f>
        <x:v>5</x:v>
      </x:c>
      <x:c r="D18" s="94" t="n">
        <x:f>'Scoring'!AC3</x:f>
        <x:v>70</x:v>
      </x:c>
      <x:c r="E18" s="85"/>
      <x:c r="F18" s="86" t="str">
        <x:v>Q10</x:v>
      </x:c>
      <x:c r="G18" s="89" t="n">
        <x:f>SUMIFS('Scoring'!Q2:Q12,'Scoring'!F2:F12,"Included")/$B$6</x:f>
        <x:v>1.7</x:v>
      </x:c>
      <x:c r="H18" s="88" t="str">
        <x:v>Negative</x:v>
      </x:c>
    </x:row>
    <x:row r="19" ht="15" hidden="0" customHeight="1">
      <x:c r="A19" s="86" t="str">
        <x:f>'Scoring'!A4</x:f>
        <x:v>P3</x:v>
      </x:c>
      <x:c r="B19" s="88" t="str">
        <x:f>'Scoring'!C4</x:f>
        <x:v>DevOps/DevSecOps</x:v>
      </x:c>
      <x:c r="C19" s="87" t="n">
        <x:f>'Scoring'!D4</x:f>
        <x:v>3</x:v>
      </x:c>
      <x:c r="D19" s="94" t="n">
        <x:f>'Scoring'!AC4</x:f>
        <x:v>62.5</x:v>
      </x:c>
      <x:c r="E19" s="85"/>
      <x:c r="F19" s="85"/>
      <x:c r="G19" s="85"/>
      <x:c r="H19" s="85"/>
    </x:row>
    <x:row r="20" ht="15" hidden="0" customHeight="1">
      <x:c r="A20" s="86" t="str">
        <x:f>'Scoring'!A5</x:f>
        <x:v>P4</x:v>
      </x:c>
      <x:c r="B20" s="88" t="str">
        <x:f>'Scoring'!C5</x:f>
        <x:v>DevOps/DevSecOps</x:v>
      </x:c>
      <x:c r="C20" s="87" t="n">
        <x:f>'Scoring'!D5</x:f>
        <x:v>1</x:v>
      </x:c>
      <x:c r="D20" s="94" t="n">
        <x:f>'Scoring'!AC5</x:f>
        <x:v>92.5</x:v>
      </x:c>
      <x:c r="E20" s="85"/>
      <x:c r="F20" s="85"/>
      <x:c r="G20" s="85"/>
      <x:c r="H20" s="85"/>
    </x:row>
    <x:row r="21" ht="15" hidden="0" customHeight="1">
      <x:c r="A21" s="86" t="str">
        <x:f>'Scoring'!A6</x:f>
        <x:v>P5</x:v>
      </x:c>
      <x:c r="B21" s="88" t="str">
        <x:f>'Scoring'!C6</x:f>
        <x:v>DevOps/DevSecOps</x:v>
      </x:c>
      <x:c r="C21" s="87" t="n">
        <x:f>'Scoring'!D6</x:f>
        <x:v>3</x:v>
      </x:c>
      <x:c r="D21" s="94" t="n">
        <x:f>'Scoring'!AC6</x:f>
        <x:v>90</x:v>
      </x:c>
      <x:c r="E21" s="85"/>
      <x:c r="F21" s="85"/>
      <x:c r="G21" s="85"/>
      <x:c r="H21" s="85"/>
    </x:row>
    <x:row r="22" ht="15" hidden="0" customHeight="1">
      <x:c r="A22" s="86" t="str">
        <x:f>'Scoring'!A7</x:f>
        <x:v>P6</x:v>
      </x:c>
      <x:c r="B22" s="88" t="str">
        <x:f>'Scoring'!C7</x:f>
        <x:v>SRE</x:v>
      </x:c>
      <x:c r="C22" s="87" t="n">
        <x:f>'Scoring'!D7</x:f>
        <x:v>4</x:v>
      </x:c>
      <x:c r="D22" s="94" t="n">
        <x:f>'Scoring'!AC7</x:f>
        <x:v>95</x:v>
      </x:c>
      <x:c r="E22" s="85"/>
      <x:c r="F22" s="85"/>
      <x:c r="G22" s="85"/>
      <x:c r="H22" s="85"/>
    </x:row>
    <x:row r="23" ht="15" hidden="0" customHeight="1">
      <x:c r="A23" s="86" t="str">
        <x:f>'Scoring'!A8</x:f>
        <x:v>P7</x:v>
      </x:c>
      <x:c r="B23" s="88" t="str">
        <x:f>'Scoring'!C8</x:f>
        <x:v>SRE</x:v>
      </x:c>
      <x:c r="C23" s="87" t="n">
        <x:f>'Scoring'!D8</x:f>
        <x:v>1</x:v>
      </x:c>
      <x:c r="D23" s="94" t="n">
        <x:f>'Scoring'!AC8</x:f>
        <x:v>77.5</x:v>
      </x:c>
      <x:c r="E23" s="85"/>
      <x:c r="F23" s="85"/>
      <x:c r="G23" s="85"/>
      <x:c r="H23" s="85"/>
    </x:row>
    <x:row r="24" ht="15" hidden="0" customHeight="1">
      <x:c r="A24" s="86" t="str">
        <x:f>'Scoring'!A9</x:f>
        <x:v>P8</x:v>
      </x:c>
      <x:c r="B24" s="88" t="str">
        <x:f>'Scoring'!C9</x:f>
        <x:v>DevOps/DevSecOps</x:v>
      </x:c>
      <x:c r="C24" s="87" t="n">
        <x:f>'Scoring'!D9</x:f>
        <x:v>3</x:v>
      </x:c>
      <x:c r="D24" s="94" t="n">
        <x:f>'Scoring'!AC9</x:f>
        <x:v>97.5</x:v>
      </x:c>
      <x:c r="E24" s="85"/>
      <x:c r="F24" s="85"/>
      <x:c r="G24" s="85"/>
      <x:c r="H24" s="85"/>
    </x:row>
    <x:row r="25" ht="15" hidden="0" customHeight="1">
      <x:c r="A25" s="86" t="str">
        <x:f>'Scoring'!A11</x:f>
        <x:v>P10</x:v>
      </x:c>
      <x:c r="B25" s="88" t="str">
        <x:f>'Scoring'!C11</x:f>
        <x:v>SRE</x:v>
      </x:c>
      <x:c r="C25" s="87" t="n">
        <x:f>'Scoring'!D11</x:f>
        <x:v>4</x:v>
      </x:c>
      <x:c r="D25" s="94" t="n">
        <x:f>'Scoring'!AC11</x:f>
        <x:v>75</x:v>
      </x:c>
      <x:c r="E25" s="85"/>
      <x:c r="F25" s="85"/>
      <x:c r="G25" s="85"/>
      <x:c r="H25" s="85"/>
    </x:row>
    <x:row r="26" ht="15" hidden="0" customHeight="1">
      <x:c r="A26" s="86" t="str">
        <x:f>'Scoring'!A12</x:f>
        <x:v>P11</x:v>
      </x:c>
      <x:c r="B26" s="88" t="str">
        <x:f>'Scoring'!C12</x:f>
        <x:v>SRE</x:v>
      </x:c>
      <x:c r="C26" s="87" t="n">
        <x:f>'Scoring'!D12</x:f>
        <x:v>2</x:v>
      </x:c>
      <x:c r="D26" s="94" t="n">
        <x:f>'Scoring'!AC12</x:f>
        <x:v>40</x:v>
      </x:c>
      <x:c r="E26" s="85"/>
      <x:c r="F26" s="85"/>
      <x:c r="G26" s="85"/>
      <x:c r="H26" s="85"/>
    </x:row>
    <x:row r="29">
      <x:c r="A29" s="99" t="str">
        <x:v>Reporting boundary</x:v>
      </x:c>
      <x:c r="B29" s="100" t="str">
        <x:v>The mean SUS score of 79.25 describes perceived usability in the ten complete responses only. P9 was excluded without imputation. No population inference, production-effectiveness claim, or causal claim is made.</x:v>
      </x:c>
      <x:c r="C29" s="100"/>
      <x:c r="D29" s="100"/>
      <x:c r="E29" s="100"/>
      <x:c r="F29" s="100"/>
      <x:c r="G29" s="100"/>
      <x:c r="H29" s="101"/>
    </x:row>
    <x:row r="30">
      <x:c r="A30" s="102"/>
      <x:c r="B30" s="103"/>
      <x:c r="C30" s="103"/>
      <x:c r="D30" s="103"/>
      <x:c r="E30" s="103"/>
      <x:c r="F30" s="103"/>
      <x:c r="G30" s="103"/>
      <x:c r="H30" s="104"/>
    </x:row>
  </x:sheetData>
  <x:mergeCells>
    <x:mergeCell ref="A1:H1"/>
    <x:mergeCell ref="B29:H30"/>
  </x:mergeCells>
  <x:pageMargins left="0.7" right="0.7" top="0.75" bottom="0.75" header="0.3" footer="0.3"/>
</x:worksheet>
</file>